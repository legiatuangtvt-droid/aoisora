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aeonitvn-my.sharepoint.com/personal/tung_vu_aeon_com_vn/Documents/"/>
    </mc:Choice>
  </mc:AlternateContent>
  <xr:revisionPtr revIDLastSave="850" documentId="8_{30285CB0-2352-4819-A580-1196C60D17FC}" xr6:coauthVersionLast="47" xr6:coauthVersionMax="47" xr10:uidLastSave="{C9272C51-8737-46EE-A884-29BFF9BF4070}"/>
  <bookViews>
    <workbookView xWindow="-110" yWindow="-110" windowWidth="19420" windowHeight="10300" activeTab="2" xr2:uid="{6801B66D-20CC-4CD8-A00C-12C6D37A7F07}"/>
  </bookViews>
  <sheets>
    <sheet name="Store Information" sheetId="4" r:id="rId1"/>
    <sheet name="Sheet3" sheetId="3" r:id="rId2"/>
    <sheet name="Danh sách công việc" sheetId="1" r:id="rId3"/>
    <sheet name="POS" sheetId="2" r:id="rId4"/>
  </sheets>
  <externalReferences>
    <externalReference r:id="rId5"/>
  </externalReferences>
  <definedNames>
    <definedName name="_xlnm._FilterDatabase" localSheetId="2" hidden="1">'Danh sách công việc'!$A$1:$P$114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1" l="1"/>
  <c r="H2" i="1"/>
</calcChain>
</file>

<file path=xl/sharedStrings.xml><?xml version="1.0" encoding="utf-8"?>
<sst xmlns="http://schemas.openxmlformats.org/spreadsheetml/2006/main" count="1054" uniqueCount="401">
  <si>
    <t>MMD</t>
  </si>
  <si>
    <t>Leader Task</t>
  </si>
  <si>
    <t>Other Task</t>
  </si>
  <si>
    <t>QC-FSH</t>
  </si>
  <si>
    <t>Cleaning Time 09:00</t>
  </si>
  <si>
    <t>Cleaning Time 15:00</t>
  </si>
  <si>
    <t>Cleaning Time 20:00</t>
  </si>
  <si>
    <t>Delica</t>
  </si>
  <si>
    <t>Aeon Café</t>
  </si>
  <si>
    <t>Peri</t>
  </si>
  <si>
    <t>Dry</t>
  </si>
  <si>
    <t>D&amp;D</t>
  </si>
  <si>
    <t>Group Task</t>
  </si>
  <si>
    <t>Task Name</t>
  </si>
  <si>
    <t>No</t>
  </si>
  <si>
    <t>Liên kết vs biến số</t>
  </si>
  <si>
    <t>Manhour Budget Formula</t>
  </si>
  <si>
    <t>Biến động</t>
  </si>
  <si>
    <t>~ 1min/1CTM</t>
  </si>
  <si>
    <t>Cố định</t>
  </si>
  <si>
    <t>~ 60 min/ca</t>
  </si>
  <si>
    <t>Coton/totobox</t>
  </si>
  <si>
    <t>nhiều lần 1 ngày</t>
  </si>
  <si>
    <t xml:space="preserve">Theo số lượng nhà cung cấp </t>
  </si>
  <si>
    <t>~10-15/ nhà cung cấp</t>
  </si>
  <si>
    <t>~5/nhà cung cấp</t>
  </si>
  <si>
    <t>theo số GE của store</t>
  </si>
  <si>
    <t>cố định</t>
  </si>
  <si>
    <t>biến động</t>
  </si>
  <si>
    <t>Số lượng khách hàng có nhu cầu</t>
  </si>
  <si>
    <t>~15/khách hàng</t>
  </si>
  <si>
    <t>90 (size &lt;300)</t>
  </si>
  <si>
    <t>Theo số lượng khách hàng</t>
  </si>
  <si>
    <t>~5/khách</t>
  </si>
  <si>
    <t>theo số lượng sản phẩm</t>
  </si>
  <si>
    <t>20- 30</t>
  </si>
  <si>
    <t>30~45</t>
  </si>
  <si>
    <t>45~60</t>
  </si>
  <si>
    <t>Theo số kiện, oricon</t>
  </si>
  <si>
    <t>3m/catons &amp; 10min/oricon</t>
  </si>
  <si>
    <t>Theo số gondola</t>
  </si>
  <si>
    <t>~15/gonl</t>
  </si>
  <si>
    <t>5 - 15</t>
  </si>
  <si>
    <t>Theo số catons</t>
  </si>
  <si>
    <t>~  3m/catons</t>
  </si>
  <si>
    <t>Loại task</t>
  </si>
  <si>
    <t>1 lần/ngày</t>
  </si>
  <si>
    <t>2 lần/ngày</t>
  </si>
  <si>
    <t>3 lần/ngày</t>
  </si>
  <si>
    <t>Tần suất</t>
  </si>
  <si>
    <t>Loại</t>
  </si>
  <si>
    <t>Cửa hàng có 2 pos: 4 lần/ngày.
Cửa hàng có 3 poss: 6  lần/ngày</t>
  </si>
  <si>
    <t>Nhiều lần 1 ngày</t>
  </si>
  <si>
    <t>3 lần/tuần</t>
  </si>
  <si>
    <t>1 lần/tháng</t>
  </si>
  <si>
    <t>2 la</t>
  </si>
  <si>
    <t>2 lần/tuần</t>
  </si>
  <si>
    <t>2 lần/tháng</t>
  </si>
  <si>
    <t>2 lần/năm</t>
  </si>
  <si>
    <t>1 lần/tuần</t>
  </si>
  <si>
    <t>4 lần/ngày</t>
  </si>
  <si>
    <t xml:space="preserve"> 2 lần/ngày</t>
  </si>
  <si>
    <t>Bất cứ khi nào khách order</t>
  </si>
  <si>
    <t>Đổ số lượng sản phẩm cần pha chế r tính trung bình 1 ngày được bao nhiêu sp</t>
  </si>
  <si>
    <t>Thời gian hoàn thành (RE) (1 người)</t>
  </si>
  <si>
    <t>1 tuần/lần</t>
  </si>
  <si>
    <t>POS</t>
  </si>
  <si>
    <t>POS (POS 1 - POS 2 - POS 3)</t>
  </si>
  <si>
    <t>Mở POS</t>
  </si>
  <si>
    <t>Chuẩn bị POS</t>
  </si>
  <si>
    <t>Đổi lẻ</t>
  </si>
  <si>
    <t>Thế Cơm POS-Staff</t>
  </si>
  <si>
    <t>Hỗ trợ POS</t>
  </si>
  <si>
    <t>Kết ca</t>
  </si>
  <si>
    <t>Giao ca</t>
  </si>
  <si>
    <t>Thế cơm POS -Leader</t>
  </si>
  <si>
    <t>EOD POS</t>
  </si>
  <si>
    <t>Daily</t>
  </si>
  <si>
    <t>Nhận Hàng Delica</t>
  </si>
  <si>
    <t>Nhận Hàng RDC- Dry</t>
  </si>
  <si>
    <t>Nhận hàng Peri</t>
  </si>
  <si>
    <t>Nhận hàng D&amp;D từ NCC</t>
  </si>
  <si>
    <t>Xử lý và update GTN/GRN</t>
  </si>
  <si>
    <t>Nhận hàng RDC- D&amp;D</t>
  </si>
  <si>
    <t>Hủy Hàng (Leader) + Update hệ thống</t>
  </si>
  <si>
    <t>Đặt Văn Phòng Phẩm</t>
  </si>
  <si>
    <t>Mở Kho</t>
  </si>
  <si>
    <t>Xử Lý Công Việc Quản Lý</t>
  </si>
  <si>
    <t>Balancing</t>
  </si>
  <si>
    <t>Kiểm Tra HSD Tươi Sống (Leader)</t>
  </si>
  <si>
    <t>Kiểm Tra PC - POP</t>
  </si>
  <si>
    <t>Kiểm Tra Hàng Đổi Trả</t>
  </si>
  <si>
    <t>Tạo DWS</t>
  </si>
  <si>
    <t>Đóng Kho</t>
  </si>
  <si>
    <t>Bàn giao tiền cho ngân hàng</t>
  </si>
  <si>
    <t>Giảm giá Peri/Dry</t>
  </si>
  <si>
    <t>Đào tạo nhân viên</t>
  </si>
  <si>
    <t>Đào tạo key staff</t>
  </si>
  <si>
    <t>Đào tạo quản lý</t>
  </si>
  <si>
    <t>Quản lý, phân bổ tài sản công cụ trong cửa hàng</t>
  </si>
  <si>
    <t>Đề xuất cải tiến quy trình nếu khác với thực tế vận hành</t>
  </si>
  <si>
    <t>Survey đối thủ: phân tích, báo cáo, lên plan đối ứng</t>
  </si>
  <si>
    <t>Yêu cầu sữa chữa, bổ sung tài sản</t>
  </si>
  <si>
    <t>Kiểm tra sắp xếp, xử lý tình huống phát sinh liên quan đến khách hàng, nhân viên, hàng hóa, cửa hàng…</t>
  </si>
  <si>
    <t>Điều chỉnh ca làm việc, điều chỉnh DWS</t>
  </si>
  <si>
    <t>Xác nhận và truyền đạt kế hoạch bán hàng</t>
  </si>
  <si>
    <t>Xác nhận và quản lý doanh thu: đọc và kiểm soát sale số, PA-0…</t>
  </si>
  <si>
    <t>Phỏng vấn đánh giá nhân viên</t>
  </si>
  <si>
    <t>Đổi PC</t>
  </si>
  <si>
    <t>Kiểm kê tháng - Leader</t>
  </si>
  <si>
    <t>Kiểm kê tháng - Staff</t>
  </si>
  <si>
    <t>Tạo GE cho Focus Item</t>
  </si>
  <si>
    <t>Chuẩn bị tem phụ</t>
  </si>
  <si>
    <t>Break Time</t>
  </si>
  <si>
    <t>Kiểm tra DWS</t>
  </si>
  <si>
    <t>Trưng bày POP Member Day</t>
  </si>
  <si>
    <t xml:space="preserve"> Giao hàng</t>
  </si>
  <si>
    <t>5S Khu Vực POS</t>
  </si>
  <si>
    <t>5S Văn Phòng</t>
  </si>
  <si>
    <t>5S Khu Vực Tươi Sống</t>
  </si>
  <si>
    <t>5S Khu vực MMD</t>
  </si>
  <si>
    <t>5S Khu Khách Ngồi</t>
  </si>
  <si>
    <t>5S Kho Hàng Hóa</t>
  </si>
  <si>
    <t>Hỗ trợ Vệ Sinh Tủ Chiller với ADV</t>
  </si>
  <si>
    <t>Vệ sinh Máy Trà Chanh-Milo</t>
  </si>
  <si>
    <t>Check nhiệt độ</t>
  </si>
  <si>
    <t>Vệ sinh bể tách mỡ</t>
  </si>
  <si>
    <t>5S Aeon Cafe</t>
  </si>
  <si>
    <t>5S Khu vực bếp</t>
  </si>
  <si>
    <t>Vệ sinh tủ lạnh cuối ngày</t>
  </si>
  <si>
    <t>1 lần/ngày (Only Eco 1)</t>
  </si>
  <si>
    <t>Quét lau sàn</t>
  </si>
  <si>
    <t xml:space="preserve"> Lên hàng Delica</t>
  </si>
  <si>
    <t>Kéo mặt Delica</t>
  </si>
  <si>
    <t>Kiểm tra HSD Delica</t>
  </si>
  <si>
    <t>Giảm giá Delica</t>
  </si>
  <si>
    <t>Đặt hàng Delica</t>
  </si>
  <si>
    <t>Kiểm tra POP Delica</t>
  </si>
  <si>
    <t>Kiểm kê tháng Delica</t>
  </si>
  <si>
    <t>Đặt nguyên liệu Delica</t>
  </si>
  <si>
    <t>Pha chế Aeon Café</t>
  </si>
  <si>
    <t>Chuẩn bị Café đầu ngày</t>
  </si>
  <si>
    <t>Bổ sung vật tư Aeon café</t>
  </si>
  <si>
    <t>Lên hàng tươi sống</t>
  </si>
  <si>
    <t>Làm PC/POP D&amp;D</t>
  </si>
  <si>
    <t>Đặt hàng D&amp;D</t>
  </si>
  <si>
    <t>Kiểm tra HSD D&amp;D</t>
  </si>
  <si>
    <t>Lên hàng D&amp;D</t>
  </si>
  <si>
    <t>Check Auto ORD</t>
  </si>
  <si>
    <t>Key Auto ORD</t>
  </si>
  <si>
    <t>Kéo mặt NF HBC - HL&amp;SL</t>
  </si>
  <si>
    <t>Check tồn WH-nóc kệ-châm hàng khô</t>
  </si>
  <si>
    <t>Làm PC/POP Dry</t>
  </si>
  <si>
    <t>Thay POG</t>
  </si>
  <si>
    <t>Chuẩn bị kiểm kê năm</t>
  </si>
  <si>
    <t>Kéo mặt COC</t>
  </si>
  <si>
    <t>Kiểm tra HSD hàng khô</t>
  </si>
  <si>
    <t>Kéo mặt hàng khô</t>
  </si>
  <si>
    <t>Lên hàng khô</t>
  </si>
  <si>
    <t>Lên hàng thịt cá</t>
  </si>
  <si>
    <t>Lên hàng trái cây rau củ trái cây</t>
  </si>
  <si>
    <t>Giảm giá Peri</t>
  </si>
  <si>
    <t>Làm POP Peri</t>
  </si>
  <si>
    <t>Đặt hàng Tươi Sống / Order</t>
  </si>
  <si>
    <t>Kiểm tra HSD Tươi Sống Staff</t>
  </si>
  <si>
    <t>Hủy hàng- Staff</t>
  </si>
  <si>
    <t>Kéo mặt Peri</t>
  </si>
  <si>
    <t>Lọc hàng Tươi sống</t>
  </si>
  <si>
    <t>Repack</t>
  </si>
  <si>
    <t>Cắt gọt / Cut Fruit</t>
  </si>
  <si>
    <t>Thu POP Member Day</t>
  </si>
  <si>
    <t>Chuẩn bị Café ngày hôm sau</t>
  </si>
  <si>
    <t>Check task Hansoku-Teachme</t>
  </si>
  <si>
    <t xml:space="preserve"> 
 Đổi POP</t>
  </si>
  <si>
    <t xml:space="preserve"> BRF Đầu ca</t>
  </si>
  <si>
    <t xml:space="preserve"> Bắn OOS</t>
  </si>
  <si>
    <t xml:space="preserve"> Kéo mặt Grocery</t>
  </si>
  <si>
    <t xml:space="preserve"> Kéo mặt D&amp;D</t>
  </si>
  <si>
    <t>Yearly</t>
  </si>
  <si>
    <t>Monthly</t>
  </si>
  <si>
    <t>Weekly</t>
  </si>
  <si>
    <t>Store</t>
  </si>
  <si>
    <t>Rằm,M1</t>
  </si>
  <si>
    <t>Cuối tuần</t>
  </si>
  <si>
    <t>Memberday</t>
  </si>
  <si>
    <t>Ngày thường</t>
  </si>
  <si>
    <t>Sold Quantity</t>
  </si>
  <si>
    <t>Number Custemor</t>
  </si>
  <si>
    <t>3002 : MAXVALU ECOPARK</t>
  </si>
  <si>
    <t>3003 : MAXVALU RIVERSIDE</t>
  </si>
  <si>
    <t>3005 : MAXVALU HORIZON</t>
  </si>
  <si>
    <t>3008 : MAXVALU HYUNDAI</t>
  </si>
  <si>
    <t>3011 : MAXVALU THANG LONG</t>
  </si>
  <si>
    <t>3013 : MAXVALU LOTUS</t>
  </si>
  <si>
    <t>3014 : MAXVALU LINH DAM</t>
  </si>
  <si>
    <t>3015 : MAXVALU WESTBAY</t>
  </si>
  <si>
    <t>3016 : MAXVALU OCEAN PARK</t>
  </si>
  <si>
    <t>3018 : MAXVALU LINH NAM</t>
  </si>
  <si>
    <t>3019 : MAXVALU THE FIVE</t>
  </si>
  <si>
    <t>3020 : MAXVALU ECOPARK 3</t>
  </si>
  <si>
    <t>3022 : MAXVALU FLORENCE</t>
  </si>
  <si>
    <t>3023 : MAXVALU KOSMO</t>
  </si>
  <si>
    <t>3024 : MAXVALU LA CASTA</t>
  </si>
  <si>
    <t>3027 : MAXVALU ZENPARK</t>
  </si>
  <si>
    <t>3028 : MAXVALU NAM TRUNG YEN</t>
  </si>
  <si>
    <t>3030 : MAXVALU SKY OASIS</t>
  </si>
  <si>
    <t>Start time</t>
  </si>
  <si>
    <t>~ End Time</t>
  </si>
  <si>
    <t>Khung giờ linh động</t>
  </si>
  <si>
    <t>Vị trí nào (điền theo ưu tiên)</t>
  </si>
  <si>
    <t>Số staff cùng thực hiện</t>
  </si>
  <si>
    <t>Task bắt buộc cố định</t>
  </si>
  <si>
    <t>Mô tả chi tiết cách giao task này</t>
  </si>
  <si>
    <t>Task liên quan đến khách hàng</t>
  </si>
  <si>
    <t>Task cố định bắt buộc</t>
  </si>
  <si>
    <t>Task liên quan NCC</t>
  </si>
  <si>
    <t>Task liên quan đến hàng hóa</t>
  </si>
  <si>
    <t xml:space="preserve">Task khác có thể đối ứng sau </t>
  </si>
  <si>
    <t>Leader</t>
  </si>
  <si>
    <t>Leader + 1 staff</t>
  </si>
  <si>
    <t>Aeon CF</t>
  </si>
  <si>
    <t>Ngành hàng</t>
  </si>
  <si>
    <t>Store ID</t>
  </si>
  <si>
    <t>Store Nam</t>
  </si>
  <si>
    <t>Store size</t>
  </si>
  <si>
    <t>Avg sale</t>
  </si>
  <si>
    <t>Head count budget</t>
  </si>
  <si>
    <t>Full time (8h)</t>
  </si>
  <si>
    <t>Partime (6h)</t>
  </si>
  <si>
    <t>Avg Customer</t>
  </si>
  <si>
    <t>10:00
16:00
19:00</t>
  </si>
  <si>
    <t>10:10
16:10
19:10</t>
  </si>
  <si>
    <t>10:00
11:00
16:00
17:00</t>
  </si>
  <si>
    <t>10:10
11:10
16:10
17:10</t>
  </si>
  <si>
    <t>Nhân viên kiểm tra DWS và thực  hiện các công việc thanh toán cho khách hàng.</t>
  </si>
  <si>
    <t>Nhân viên đăng nhập POS sau đó cùng quản lý kiểm tiền và để và két thu ngân</t>
  </si>
  <si>
    <t>Nhân viên được phân chia đứng POS kiểm tra các văn phòng phẩm tại quầy thu ngân (túi nilon, băng dính, bút…) bổ sung đầy đủ vào đầu ca làm việc</t>
  </si>
  <si>
    <t>Sau khi nhận được yêu cầu cần đổi tiền từ nhân viên thu nhân. Quản lý sẽ mở két và kiểm tra mệnh giá tiền bị thiếu. Tiếp đó sẽ lấy tiền ở két thu ngân và di chuyển vào văn phòng mở két sắt đổi tiền. Sau khi đổi xong thì để tiền lại két thu ngân (Trong tất cả các thao tác đều phải có 2 người 1 leader + 1 staff)</t>
  </si>
  <si>
    <t>Nhân viên được phân công thế cơm. Sẽ đếm lại cọc tiền 2tr sau đó trải tiền vào két và đăng nhập để thế cơm cho nhân viên POS đi ăn</t>
  </si>
  <si>
    <t>11:00
18:00</t>
  </si>
  <si>
    <t>10:00
17:00</t>
  </si>
  <si>
    <t>~11:00</t>
  </si>
  <si>
    <t>Cần xin giờ giao hàng của sagawa</t>
  </si>
  <si>
    <t>Cần xin giờ giao hàng của RDC</t>
  </si>
  <si>
    <t>Từ 6:00</t>
  </si>
  <si>
    <t>Đôi khi nhân đến 15:00</t>
  </si>
  <si>
    <t>1:55
22:10</t>
  </si>
  <si>
    <t>14:00
22:15</t>
  </si>
  <si>
    <t>20 hàng tháng</t>
  </si>
  <si>
    <t>13:30
21:00</t>
  </si>
  <si>
    <t>13:40
21:10</t>
  </si>
  <si>
    <t>Khi có khách hàng order nhân viên thu ngân sẽ pha chế café</t>
  </si>
  <si>
    <t>khi có khách hàng order</t>
  </si>
  <si>
    <t>Nhân viên chuẩn bị các món đầu ngày trà chanh, milo</t>
  </si>
  <si>
    <t>15:00 - 15:20</t>
  </si>
  <si>
    <t>Nhân viên chuẩn bị ủ cà phê, nguyên liệu cho ngày hôm sau</t>
  </si>
  <si>
    <t>6:15
14:45</t>
  </si>
  <si>
    <t>6:30
15:00</t>
  </si>
  <si>
    <t xml:space="preserve">Bổ sung khi vật tư tiêu hao hết </t>
  </si>
  <si>
    <t>7:00
15:00
20:00</t>
  </si>
  <si>
    <t>7:15
15:15
20:15</t>
  </si>
  <si>
    <t>Nhân viên kéo mặt các sản phẩm khu vực D&amp;D</t>
  </si>
  <si>
    <t>Nhân viên kiểm tra HSD và ghi vào sổ kiểm date</t>
  </si>
  <si>
    <t>Quản lý đặt hàng D&amp;D vào các ngày 2,4,6</t>
  </si>
  <si>
    <t>Nhân viên bổ sung POP còn thiếu</t>
  </si>
  <si>
    <t>Tùy giờ giao hàng của RDC, xin file giờ giao hàng</t>
  </si>
  <si>
    <t>10:00
17:00
20:00</t>
  </si>
  <si>
    <t>10:10
17:10
20:10</t>
  </si>
  <si>
    <t>12:00
20:10</t>
  </si>
  <si>
    <t>12:15
20:25</t>
  </si>
  <si>
    <t>trước ngày cuối tháng 1 ngày</t>
  </si>
  <si>
    <t>Nhân viên và quản lý kiểm đếm sau đó điền file và gửi cho trainer</t>
  </si>
  <si>
    <t>Đặt thứ 2 hàng tuần</t>
  </si>
  <si>
    <t>Bổ sung NVL khi hết</t>
  </si>
  <si>
    <t>11:00
17:00</t>
  </si>
  <si>
    <t>11:10
17:10</t>
  </si>
  <si>
    <t>Kiểm tra hàng hết hạn và sổ kiểm date, lấy tem giảm giá bàn giao cho nhân viên</t>
  </si>
  <si>
    <t>Kéo mặt khu Delica theo khung giờ</t>
  </si>
  <si>
    <t>Kiểm tra hạn sử dụng và ghi vào sổ kiểm date</t>
  </si>
  <si>
    <t>7:00
10:00</t>
  </si>
  <si>
    <t>7:25
10:25</t>
  </si>
  <si>
    <t>Về theo khung giờ của sagawa</t>
  </si>
  <si>
    <t>Nhân viên trưng bày hàng Delica</t>
  </si>
  <si>
    <t>Quản lý check link và điều chỉnh đơn hàng</t>
  </si>
  <si>
    <t>Nhân viên dùng HHT Scan các sản phẩm OOS</t>
  </si>
  <si>
    <t>12:30
21:45</t>
  </si>
  <si>
    <t>13:00
22:15</t>
  </si>
  <si>
    <t>kéo mặt sản phẩm</t>
  </si>
  <si>
    <t>theo số gonl cần thay</t>
  </si>
  <si>
    <t>Nhân viên thay POG theo kế hoạch planing gửi</t>
  </si>
  <si>
    <t>bổ sung bảng giá còn thiếu</t>
  </si>
  <si>
    <t>Bổ sung sản phẩm trên quầy kệ</t>
  </si>
  <si>
    <t>Key tăng giảm hàng về ngày mai</t>
  </si>
  <si>
    <t>Check lại sl key tăng giảm</t>
  </si>
  <si>
    <t>9:00
15:00
20:00</t>
  </si>
  <si>
    <t>9:05
15:05
20:05</t>
  </si>
  <si>
    <t>Nhân viên kiểm tra HSD sản phẩm và up lên file</t>
  </si>
  <si>
    <t>Leader: 60</t>
  </si>
  <si>
    <t>Staff: 60</t>
  </si>
  <si>
    <t>1 năm 2 lần theo lịch của công ty</t>
  </si>
  <si>
    <t>Quản lý kiểm tra GTN và chốt layout với audit</t>
  </si>
  <si>
    <t>Nhân viên sắp xếp lại quầy, kho bãi</t>
  </si>
  <si>
    <t>Nhân viên thu ngân kéo mặt COC</t>
  </si>
  <si>
    <t>Check kiểm tra GTN/GRN khi có</t>
  </si>
  <si>
    <t>Nhận hàng</t>
  </si>
  <si>
    <t>6:55
10:00</t>
  </si>
  <si>
    <t>7:00
10:05</t>
  </si>
  <si>
    <t>5:45
14:30</t>
  </si>
  <si>
    <t>5:55
14:40</t>
  </si>
  <si>
    <t>Họp đầu ca</t>
  </si>
  <si>
    <t>9:00
14:00</t>
  </si>
  <si>
    <t>11:00
16:30</t>
  </si>
  <si>
    <t>Khi có khách hàng có nhu cầu nhân viên sẽ ship hàng cho khách hàng</t>
  </si>
  <si>
    <t>6:00
13:55
14:25
22:25</t>
  </si>
  <si>
    <t>6:05
14:00
14:30
22:30</t>
  </si>
  <si>
    <t>All</t>
  </si>
  <si>
    <t>Nhân viên kiểm tra DWS trước khi vào ca và trước khi ra về</t>
  </si>
  <si>
    <t>Trưng bày POP vào ngày 4,19 hàng tháng</t>
  </si>
  <si>
    <t>Thu pop vào tối ngày 5,20 hàng tháng</t>
  </si>
  <si>
    <t xml:space="preserve">Nhân viên đi ăn theo khung giờ </t>
  </si>
  <si>
    <t>10:00
16:00</t>
  </si>
  <si>
    <t>12:00
19:00</t>
  </si>
  <si>
    <t>Phân chia ca ăn đảm bảo đủ nhân sự đứng pos</t>
  </si>
  <si>
    <t>In tem phụ chuẩn bị cho tuần sau</t>
  </si>
  <si>
    <t>Kiểm kê tháng</t>
  </si>
  <si>
    <t>check giá và trưng bày POP</t>
  </si>
  <si>
    <t>Thay đổi giá và thứ 2 tuần 1 và 3 của tháng</t>
  </si>
  <si>
    <t>9:30
22:00</t>
  </si>
  <si>
    <t>9:45
22:115</t>
  </si>
  <si>
    <t>Vệ sinh quầy thu ngân</t>
  </si>
  <si>
    <t>13:55
22:20</t>
  </si>
  <si>
    <t>14:00
22:25</t>
  </si>
  <si>
    <t>chỉ có Ecopark 1</t>
  </si>
  <si>
    <t>13:00
20:00</t>
  </si>
  <si>
    <t>13:10
20:10</t>
  </si>
  <si>
    <t>13:50
21:50</t>
  </si>
  <si>
    <t>14:00
22:00</t>
  </si>
  <si>
    <t>13:00
21:00</t>
  </si>
  <si>
    <t>13:30
21:30</t>
  </si>
  <si>
    <t>13:45
21:15</t>
  </si>
  <si>
    <t>Theo lịch vệ sinh của ADV</t>
  </si>
  <si>
    <t>3002</t>
  </si>
  <si>
    <t>3003</t>
  </si>
  <si>
    <t>3005</t>
  </si>
  <si>
    <t>3008</t>
  </si>
  <si>
    <t>3011</t>
  </si>
  <si>
    <t>3013</t>
  </si>
  <si>
    <t>3014</t>
  </si>
  <si>
    <t>3015</t>
  </si>
  <si>
    <t>3016</t>
  </si>
  <si>
    <t>3018</t>
  </si>
  <si>
    <t>3019</t>
  </si>
  <si>
    <t>3020</t>
  </si>
  <si>
    <t>3022</t>
  </si>
  <si>
    <t>3023</t>
  </si>
  <si>
    <t>3024</t>
  </si>
  <si>
    <t>3027</t>
  </si>
  <si>
    <t>3028</t>
  </si>
  <si>
    <t>3030</t>
  </si>
  <si>
    <t>3031</t>
  </si>
  <si>
    <t>3032</t>
  </si>
  <si>
    <t>3033</t>
  </si>
  <si>
    <t>3034</t>
  </si>
  <si>
    <t>3035</t>
  </si>
  <si>
    <t>3036</t>
  </si>
  <si>
    <t>3037</t>
  </si>
  <si>
    <t>3039</t>
  </si>
  <si>
    <t xml:space="preserve">Ecopark </t>
  </si>
  <si>
    <t xml:space="preserve">Riverside </t>
  </si>
  <si>
    <t xml:space="preserve">Horizon </t>
  </si>
  <si>
    <t xml:space="preserve">Hyundai </t>
  </si>
  <si>
    <t xml:space="preserve">Thăng Long </t>
  </si>
  <si>
    <t xml:space="preserve">Lotus </t>
  </si>
  <si>
    <t xml:space="preserve">Linh Đàm </t>
  </si>
  <si>
    <t xml:space="preserve">Westbay </t>
  </si>
  <si>
    <t xml:space="preserve">Ocean Park </t>
  </si>
  <si>
    <t xml:space="preserve">Lĩnh Nam </t>
  </si>
  <si>
    <t>The Five</t>
  </si>
  <si>
    <t>Eco Rừng Cọ</t>
  </si>
  <si>
    <t>Florence</t>
  </si>
  <si>
    <t>Kosmo</t>
  </si>
  <si>
    <t>Lacasta</t>
  </si>
  <si>
    <t>Zenpark</t>
  </si>
  <si>
    <t>Nam Trung Yên</t>
  </si>
  <si>
    <t>Sky Oasis</t>
  </si>
  <si>
    <t>Symphony</t>
  </si>
  <si>
    <t>Five Star</t>
  </si>
  <si>
    <t>Sapphire</t>
  </si>
  <si>
    <t>Landmark</t>
  </si>
  <si>
    <t>Masteri</t>
  </si>
  <si>
    <t>Royal City</t>
  </si>
  <si>
    <t>Haven Park</t>
  </si>
  <si>
    <t>Hawaii</t>
  </si>
  <si>
    <t>13:30
22:00</t>
  </si>
  <si>
    <t>13:45
22:15</t>
  </si>
  <si>
    <t>9:25
15:25
20:25</t>
  </si>
  <si>
    <t>9:30
15:30
20:30</t>
  </si>
  <si>
    <t>rằm và M1 đến 15:00</t>
  </si>
  <si>
    <t xml:space="preserve">Cân và bày: 
</t>
  </si>
  <si>
    <t xml:space="preserve">Cân và bày: 
Bày: 5sp/1p
Cân-&gt;pack khay -&gt; bày: </t>
  </si>
  <si>
    <t xml:space="preserve">Cân và bày: 
Bày: 5sp/p
Cân-&gt;pack khay -&gt; bày: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</si>
</sst>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7" x14ac:knownFonts="1">
    <font>
      <sz val="11"/>
      <color theme="1"/>
      <name val="Aptos Narrow"/>
      <family val="2"/>
      <scheme val="minor"/>
    </font>
    <font>
      <sz val="11"/>
      <color theme="1"/>
      <name val="Aptos Narrow"/>
      <family val="2"/>
      <scheme val="minor"/>
    </font>
    <font>
      <b/>
      <sz val="11"/>
      <color theme="1"/>
      <name val="Aptos Narrow"/>
      <family val="2"/>
      <scheme val="minor"/>
    </font>
    <font>
      <sz val="12"/>
      <color theme="1"/>
      <name val="Aptos Narrow"/>
      <family val="2"/>
      <scheme val="minor"/>
    </font>
    <font>
      <sz val="12"/>
      <color theme="1"/>
      <name val="Calibri"/>
      <family val="2"/>
    </font>
    <font>
      <b/>
      <sz val="12"/>
      <color theme="1"/>
      <name val="Calibri"/>
      <family val="2"/>
    </font>
    <font>
      <sz val="8"/>
      <color rgb="FF081B3A"/>
      <name val="Segoe UI"/>
      <family val="2"/>
    </font>
  </fonts>
  <fills count="7">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249977111117893"/>
        <bgColor indexed="64"/>
      </patternFill>
    </fill>
    <fill>
      <patternFill patternType="solid">
        <fgColor rgb="FFFFFFFF"/>
        <bgColor indexed="64"/>
      </patternFill>
    </fill>
    <fill>
      <patternFill patternType="solid">
        <fgColor rgb="FF00B0F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43" fontId="1" fillId="0" borderId="0" applyFont="0" applyFill="0" applyBorder="0" applyAlignment="0" applyProtection="0"/>
  </cellStyleXfs>
  <cellXfs count="66">
    <xf numFmtId="0" fontId="0" fillId="0" borderId="0" xfId="0"/>
    <xf numFmtId="0" fontId="4" fillId="2" borderId="1" xfId="0" applyFont="1" applyFill="1" applyBorder="1" applyAlignment="1">
      <alignment horizontal="left" vertical="center"/>
    </xf>
    <xf numFmtId="0" fontId="4" fillId="2" borderId="1" xfId="0" applyFont="1" applyFill="1" applyBorder="1" applyAlignment="1">
      <alignment vertical="center" wrapText="1"/>
    </xf>
    <xf numFmtId="0" fontId="4" fillId="2" borderId="1" xfId="0" applyFont="1" applyFill="1" applyBorder="1" applyAlignment="1">
      <alignment horizontal="center" vertical="center"/>
    </xf>
    <xf numFmtId="0" fontId="4" fillId="2" borderId="1" xfId="0" applyFont="1" applyFill="1" applyBorder="1" applyAlignment="1">
      <alignment horizontal="left" vertical="center" wrapText="1"/>
    </xf>
    <xf numFmtId="0" fontId="4" fillId="2" borderId="1" xfId="0" applyFont="1" applyFill="1" applyBorder="1" applyAlignment="1">
      <alignment vertical="center"/>
    </xf>
    <xf numFmtId="0" fontId="4" fillId="0" borderId="1" xfId="0" applyFont="1" applyBorder="1" applyAlignment="1">
      <alignment horizontal="left"/>
    </xf>
    <xf numFmtId="0" fontId="4" fillId="0" borderId="1" xfId="0" applyFont="1" applyBorder="1" applyAlignment="1">
      <alignment horizontal="left" vertical="center"/>
    </xf>
    <xf numFmtId="0" fontId="4" fillId="5" borderId="1" xfId="0" applyFont="1" applyFill="1" applyBorder="1" applyAlignment="1">
      <alignment horizontal="left" vertical="center" wrapText="1"/>
    </xf>
    <xf numFmtId="0" fontId="4" fillId="0" borderId="0" xfId="0" applyFont="1"/>
    <xf numFmtId="0" fontId="5" fillId="2" borderId="1" xfId="0" applyFont="1" applyFill="1" applyBorder="1" applyAlignment="1">
      <alignment vertical="center" wrapText="1"/>
    </xf>
    <xf numFmtId="0" fontId="5" fillId="2" borderId="1" xfId="0" applyFont="1" applyFill="1" applyBorder="1" applyAlignment="1">
      <alignment vertical="center"/>
    </xf>
    <xf numFmtId="0" fontId="5" fillId="2" borderId="1" xfId="0" applyFont="1" applyFill="1" applyBorder="1" applyAlignment="1">
      <alignment horizontal="center" vertical="center"/>
    </xf>
    <xf numFmtId="0" fontId="5" fillId="4" borderId="1" xfId="0" applyFont="1" applyFill="1" applyBorder="1" applyAlignment="1">
      <alignment horizontal="center" vertical="center" wrapText="1"/>
    </xf>
    <xf numFmtId="0" fontId="3" fillId="0" borderId="0" xfId="0" applyFont="1"/>
    <xf numFmtId="0" fontId="3" fillId="0" borderId="0" xfId="0" applyFont="1" applyAlignment="1">
      <alignment horizontal="left" vertical="center"/>
    </xf>
    <xf numFmtId="0" fontId="0" fillId="0" borderId="1" xfId="0" applyBorder="1" applyAlignment="1">
      <alignment horizontal="center"/>
    </xf>
    <xf numFmtId="164" fontId="0" fillId="2" borderId="1" xfId="1" applyNumberFormat="1" applyFont="1" applyFill="1" applyBorder="1" applyAlignment="1">
      <alignment horizontal="left" vertical="top"/>
    </xf>
    <xf numFmtId="0" fontId="0" fillId="2" borderId="1" xfId="0" applyFill="1" applyBorder="1" applyAlignment="1">
      <alignment horizontal="left" vertical="top"/>
    </xf>
    <xf numFmtId="0" fontId="0" fillId="0" borderId="1" xfId="0" applyBorder="1"/>
    <xf numFmtId="0" fontId="2" fillId="6" borderId="1" xfId="0" applyFont="1" applyFill="1" applyBorder="1" applyAlignment="1">
      <alignment horizontal="center" vertical="center"/>
    </xf>
    <xf numFmtId="0" fontId="2" fillId="6" borderId="1" xfId="0" applyFont="1" applyFill="1" applyBorder="1" applyAlignment="1">
      <alignment vertical="center"/>
    </xf>
    <xf numFmtId="0" fontId="4" fillId="0" borderId="1" xfId="0" applyFont="1" applyBorder="1" applyAlignment="1">
      <alignment horizontal="left" vertical="center" wrapText="1"/>
    </xf>
    <xf numFmtId="0" fontId="4" fillId="3" borderId="1" xfId="0" applyFont="1" applyFill="1" applyBorder="1" applyAlignment="1">
      <alignment horizontal="left" vertical="center"/>
    </xf>
    <xf numFmtId="0" fontId="4" fillId="2" borderId="1" xfId="0" applyFont="1" applyFill="1" applyBorder="1" applyAlignment="1">
      <alignment horizontal="center" vertical="center" wrapText="1"/>
    </xf>
    <xf numFmtId="17" fontId="4" fillId="2" borderId="1" xfId="0" quotePrefix="1" applyNumberFormat="1" applyFont="1" applyFill="1" applyBorder="1" applyAlignment="1">
      <alignment horizontal="left" vertical="center"/>
    </xf>
    <xf numFmtId="0" fontId="6" fillId="0" borderId="0" xfId="0" applyFont="1"/>
    <xf numFmtId="0" fontId="0" fillId="0" borderId="0" xfId="0" applyAlignment="1">
      <alignment horizontal="center"/>
    </xf>
    <xf numFmtId="20" fontId="0" fillId="2" borderId="1" xfId="0" applyNumberFormat="1" applyFill="1" applyBorder="1" applyAlignment="1">
      <alignment horizontal="center" vertical="center"/>
    </xf>
    <xf numFmtId="0" fontId="0" fillId="2" borderId="1" xfId="0" applyFill="1" applyBorder="1" applyAlignment="1">
      <alignment horizontal="center" vertical="center" wrapText="1"/>
    </xf>
    <xf numFmtId="0" fontId="3" fillId="0" borderId="1" xfId="0" applyFont="1" applyBorder="1" applyAlignment="1">
      <alignment vertical="center"/>
    </xf>
    <xf numFmtId="0" fontId="3" fillId="0" borderId="0" xfId="0" applyFont="1" applyAlignment="1">
      <alignment vertical="center"/>
    </xf>
    <xf numFmtId="0" fontId="3" fillId="0" borderId="1" xfId="0" applyFont="1" applyBorder="1" applyAlignment="1">
      <alignment horizontal="center" vertical="center"/>
    </xf>
    <xf numFmtId="0" fontId="3" fillId="0" borderId="0" xfId="0" applyFont="1" applyAlignment="1">
      <alignment horizontal="center" vertical="center"/>
    </xf>
    <xf numFmtId="0" fontId="2" fillId="6" borderId="1" xfId="0" applyFont="1" applyFill="1" applyBorder="1" applyAlignment="1">
      <alignment horizontal="left" vertical="center" wrapText="1"/>
    </xf>
    <xf numFmtId="0" fontId="3" fillId="0" borderId="1" xfId="0" applyFont="1" applyBorder="1" applyAlignment="1">
      <alignment horizontal="left" vertical="center" wrapText="1"/>
    </xf>
    <xf numFmtId="0" fontId="3" fillId="0" borderId="0" xfId="0" applyFont="1" applyAlignment="1">
      <alignment horizontal="left" vertical="center" wrapText="1"/>
    </xf>
    <xf numFmtId="20" fontId="3" fillId="0" borderId="1" xfId="0" applyNumberFormat="1" applyFont="1" applyBorder="1" applyAlignment="1">
      <alignment horizontal="center" vertical="center"/>
    </xf>
    <xf numFmtId="0" fontId="3" fillId="0" borderId="1" xfId="0" applyFont="1" applyBorder="1" applyAlignment="1">
      <alignment horizontal="center" vertical="center" wrapText="1"/>
    </xf>
    <xf numFmtId="20" fontId="3" fillId="0" borderId="1" xfId="0" applyNumberFormat="1" applyFont="1" applyBorder="1" applyAlignment="1">
      <alignment horizontal="center" vertical="center" wrapText="1"/>
    </xf>
    <xf numFmtId="0" fontId="3" fillId="0" borderId="1" xfId="0" applyFont="1" applyBorder="1" applyAlignment="1">
      <alignment vertical="center" wrapText="1"/>
    </xf>
    <xf numFmtId="0" fontId="4" fillId="3" borderId="1" xfId="0" applyFont="1" applyFill="1" applyBorder="1" applyAlignment="1">
      <alignment horizontal="left" vertical="center" wrapText="1"/>
    </xf>
    <xf numFmtId="0" fontId="0" fillId="0" borderId="1" xfId="0" applyBorder="1" applyAlignment="1">
      <alignment horizontal="center" vertical="center"/>
    </xf>
    <xf numFmtId="0" fontId="0" fillId="0" borderId="1" xfId="0" applyBorder="1" applyAlignment="1">
      <alignment horizontal="center"/>
    </xf>
    <xf numFmtId="0" fontId="3" fillId="0" borderId="1" xfId="0" applyFont="1" applyBorder="1" applyAlignment="1">
      <alignment wrapText="1"/>
    </xf>
    <xf numFmtId="0" fontId="0" fillId="0" borderId="1" xfId="0" applyBorder="1" applyAlignment="1">
      <alignment vertical="center" wrapText="1"/>
    </xf>
    <xf numFmtId="0" fontId="2" fillId="6" borderId="1" xfId="0" applyFont="1" applyFill="1" applyBorder="1" applyAlignment="1">
      <alignment vertical="center" wrapText="1"/>
    </xf>
    <xf numFmtId="0" fontId="3" fillId="0" borderId="0" xfId="0" applyFont="1" applyAlignment="1">
      <alignment vertical="center" wrapText="1"/>
    </xf>
    <xf numFmtId="0" fontId="2" fillId="6" borderId="1" xfId="0" applyFont="1" applyFill="1" applyBorder="1" applyAlignment="1">
      <alignment horizontal="center" vertical="center" wrapText="1"/>
    </xf>
    <xf numFmtId="0" fontId="3" fillId="0" borderId="0" xfId="0" applyFont="1" applyAlignment="1">
      <alignment horizontal="center" vertical="center" wrapText="1"/>
    </xf>
    <xf numFmtId="0" fontId="4" fillId="2" borderId="2" xfId="0" applyFont="1" applyFill="1" applyBorder="1" applyAlignment="1">
      <alignment horizontal="left" vertical="center"/>
    </xf>
    <xf numFmtId="0" fontId="4" fillId="2" borderId="3" xfId="0" applyFont="1" applyFill="1" applyBorder="1" applyAlignment="1">
      <alignment horizontal="left" vertical="center"/>
    </xf>
    <xf numFmtId="0" fontId="4" fillId="2" borderId="2" xfId="0" applyFont="1" applyFill="1" applyBorder="1" applyAlignment="1">
      <alignment horizontal="left" vertical="center" wrapText="1"/>
    </xf>
    <xf numFmtId="0" fontId="4" fillId="2" borderId="3" xfId="0" applyFont="1" applyFill="1" applyBorder="1" applyAlignment="1">
      <alignment horizontal="left" vertical="center" wrapText="1"/>
    </xf>
    <xf numFmtId="0" fontId="4" fillId="0" borderId="2" xfId="0" applyFont="1" applyBorder="1" applyAlignment="1">
      <alignment horizontal="left" vertical="center"/>
    </xf>
    <xf numFmtId="0" fontId="4" fillId="0" borderId="3" xfId="0" applyFont="1" applyBorder="1" applyAlignment="1">
      <alignment horizontal="left" vertical="center"/>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20" fontId="3" fillId="2" borderId="1" xfId="0" applyNumberFormat="1" applyFont="1" applyFill="1" applyBorder="1" applyAlignment="1">
      <alignment horizontal="center" vertical="center"/>
    </xf>
    <xf numFmtId="0" fontId="3" fillId="2" borderId="1" xfId="0" applyFont="1" applyFill="1" applyBorder="1" applyAlignment="1">
      <alignment vertical="center" wrapText="1"/>
    </xf>
    <xf numFmtId="0" fontId="3" fillId="2" borderId="1" xfId="0" applyFont="1" applyFill="1" applyBorder="1" applyAlignment="1">
      <alignment vertical="center"/>
    </xf>
    <xf numFmtId="0" fontId="3" fillId="2" borderId="1" xfId="0" applyFont="1" applyFill="1" applyBorder="1" applyAlignment="1">
      <alignment horizontal="center" vertical="center"/>
    </xf>
    <xf numFmtId="0" fontId="3" fillId="2" borderId="1" xfId="0" applyFont="1" applyFill="1" applyBorder="1" applyAlignment="1">
      <alignment horizontal="left" vertical="center" wrapText="1"/>
    </xf>
    <xf numFmtId="0" fontId="3" fillId="2" borderId="1" xfId="0" applyFont="1" applyFill="1" applyBorder="1" applyAlignment="1">
      <alignment wrapText="1"/>
    </xf>
    <xf numFmtId="0" fontId="0" fillId="2" borderId="1" xfId="0" applyFill="1" applyBorder="1" applyAlignment="1">
      <alignment vertical="center" wrapText="1"/>
    </xf>
    <xf numFmtId="20" fontId="0" fillId="2" borderId="0" xfId="0" applyNumberFormat="1" applyFill="1" applyAlignment="1">
      <alignment horizontal="center" vertical="center"/>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tung.vu\Downloads\Task%20list%20Aeon.xlsx" TargetMode="External"/><Relationship Id="rId1" Type="http://schemas.openxmlformats.org/officeDocument/2006/relationships/externalLinkPath" Target="file:///C:\Users\tung.vu\Downloads\Task%20list%20Aeo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ask list"/>
      <sheetName val="Store Input"/>
      <sheetName val="Màn hình RE Logic"/>
    </sheetNames>
    <sheetDataSet>
      <sheetData sheetId="0"/>
      <sheetData sheetId="1">
        <row r="7">
          <cell r="B7" t="str">
            <v>CTM Number</v>
          </cell>
          <cell r="C7"/>
        </row>
      </sheetData>
      <sheetData sheetId="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2D9236-3C77-4C0F-BF3B-A4B93B87F181}">
  <dimension ref="A1:G28"/>
  <sheetViews>
    <sheetView workbookViewId="0">
      <selection activeCell="L12" sqref="L12"/>
    </sheetView>
  </sheetViews>
  <sheetFormatPr defaultRowHeight="14.5" x14ac:dyDescent="0.35"/>
  <cols>
    <col min="1" max="1" width="8.7265625" style="27"/>
    <col min="2" max="2" width="26.36328125" customWidth="1"/>
    <col min="3" max="3" width="23" customWidth="1"/>
    <col min="4" max="4" width="16.08984375" bestFit="1" customWidth="1"/>
    <col min="5" max="6" width="16.08984375" customWidth="1"/>
    <col min="7" max="7" width="10.08984375" customWidth="1"/>
  </cols>
  <sheetData>
    <row r="1" spans="1:7" x14ac:dyDescent="0.35">
      <c r="A1" s="42" t="s">
        <v>222</v>
      </c>
      <c r="B1" s="42" t="s">
        <v>223</v>
      </c>
      <c r="C1" s="42" t="s">
        <v>224</v>
      </c>
      <c r="D1" s="43" t="s">
        <v>226</v>
      </c>
      <c r="E1" s="43"/>
      <c r="F1" s="42" t="s">
        <v>229</v>
      </c>
      <c r="G1" s="42" t="s">
        <v>225</v>
      </c>
    </row>
    <row r="2" spans="1:7" x14ac:dyDescent="0.35">
      <c r="A2" s="42"/>
      <c r="B2" s="42"/>
      <c r="C2" s="42"/>
      <c r="D2" s="16" t="s">
        <v>227</v>
      </c>
      <c r="E2" s="16" t="s">
        <v>228</v>
      </c>
      <c r="F2" s="42"/>
      <c r="G2" s="42"/>
    </row>
    <row r="3" spans="1:7" x14ac:dyDescent="0.35">
      <c r="A3" s="16" t="s">
        <v>341</v>
      </c>
      <c r="B3" s="19" t="s">
        <v>367</v>
      </c>
      <c r="C3" s="19"/>
      <c r="D3" s="19"/>
      <c r="E3" s="19"/>
      <c r="F3" s="19"/>
      <c r="G3" s="19"/>
    </row>
    <row r="4" spans="1:7" x14ac:dyDescent="0.35">
      <c r="A4" s="16" t="s">
        <v>342</v>
      </c>
      <c r="B4" s="19" t="s">
        <v>368</v>
      </c>
      <c r="C4" s="19"/>
      <c r="D4" s="19"/>
      <c r="E4" s="19"/>
      <c r="F4" s="19"/>
      <c r="G4" s="19"/>
    </row>
    <row r="5" spans="1:7" x14ac:dyDescent="0.35">
      <c r="A5" s="16" t="s">
        <v>343</v>
      </c>
      <c r="B5" s="19" t="s">
        <v>369</v>
      </c>
      <c r="C5" s="19"/>
      <c r="D5" s="19"/>
      <c r="E5" s="19"/>
      <c r="F5" s="19"/>
      <c r="G5" s="19"/>
    </row>
    <row r="6" spans="1:7" x14ac:dyDescent="0.35">
      <c r="A6" s="16" t="s">
        <v>344</v>
      </c>
      <c r="B6" s="19" t="s">
        <v>370</v>
      </c>
      <c r="C6" s="19"/>
      <c r="D6" s="19"/>
      <c r="E6" s="19"/>
      <c r="F6" s="19"/>
      <c r="G6" s="19"/>
    </row>
    <row r="7" spans="1:7" x14ac:dyDescent="0.35">
      <c r="A7" s="16" t="s">
        <v>345</v>
      </c>
      <c r="B7" s="19" t="s">
        <v>371</v>
      </c>
      <c r="C7" s="19"/>
      <c r="D7" s="19"/>
      <c r="E7" s="19"/>
      <c r="F7" s="19"/>
      <c r="G7" s="19"/>
    </row>
    <row r="8" spans="1:7" x14ac:dyDescent="0.35">
      <c r="A8" s="16" t="s">
        <v>346</v>
      </c>
      <c r="B8" s="19" t="s">
        <v>372</v>
      </c>
      <c r="C8" s="19"/>
      <c r="D8" s="19"/>
      <c r="E8" s="19"/>
      <c r="F8" s="19"/>
      <c r="G8" s="19"/>
    </row>
    <row r="9" spans="1:7" x14ac:dyDescent="0.35">
      <c r="A9" s="16" t="s">
        <v>347</v>
      </c>
      <c r="B9" s="19" t="s">
        <v>373</v>
      </c>
      <c r="C9" s="19"/>
      <c r="D9" s="19"/>
      <c r="E9" s="19"/>
      <c r="F9" s="19"/>
      <c r="G9" s="19"/>
    </row>
    <row r="10" spans="1:7" x14ac:dyDescent="0.35">
      <c r="A10" s="16" t="s">
        <v>348</v>
      </c>
      <c r="B10" s="19" t="s">
        <v>374</v>
      </c>
      <c r="C10" s="19"/>
      <c r="D10" s="19"/>
      <c r="E10" s="19"/>
      <c r="F10" s="19"/>
      <c r="G10" s="19"/>
    </row>
    <row r="11" spans="1:7" x14ac:dyDescent="0.35">
      <c r="A11" s="16" t="s">
        <v>349</v>
      </c>
      <c r="B11" s="19" t="s">
        <v>375</v>
      </c>
      <c r="C11" s="19"/>
      <c r="D11" s="19"/>
      <c r="E11" s="19"/>
      <c r="F11" s="19"/>
      <c r="G11" s="19"/>
    </row>
    <row r="12" spans="1:7" x14ac:dyDescent="0.35">
      <c r="A12" s="16" t="s">
        <v>350</v>
      </c>
      <c r="B12" s="19" t="s">
        <v>376</v>
      </c>
      <c r="C12" s="19"/>
      <c r="D12" s="19"/>
      <c r="E12" s="19"/>
      <c r="F12" s="19"/>
      <c r="G12" s="19"/>
    </row>
    <row r="13" spans="1:7" x14ac:dyDescent="0.35">
      <c r="A13" s="16" t="s">
        <v>351</v>
      </c>
      <c r="B13" s="19" t="s">
        <v>377</v>
      </c>
      <c r="C13" s="19"/>
      <c r="D13" s="19"/>
      <c r="E13" s="19"/>
      <c r="F13" s="19"/>
      <c r="G13" s="19"/>
    </row>
    <row r="14" spans="1:7" x14ac:dyDescent="0.35">
      <c r="A14" s="16" t="s">
        <v>352</v>
      </c>
      <c r="B14" s="19" t="s">
        <v>378</v>
      </c>
      <c r="C14" s="19"/>
      <c r="D14" s="19"/>
      <c r="E14" s="19"/>
      <c r="F14" s="19"/>
      <c r="G14" s="19"/>
    </row>
    <row r="15" spans="1:7" x14ac:dyDescent="0.35">
      <c r="A15" s="16" t="s">
        <v>353</v>
      </c>
      <c r="B15" s="19" t="s">
        <v>379</v>
      </c>
      <c r="C15" s="19"/>
      <c r="D15" s="19"/>
      <c r="E15" s="19"/>
      <c r="F15" s="19"/>
      <c r="G15" s="19"/>
    </row>
    <row r="16" spans="1:7" x14ac:dyDescent="0.35">
      <c r="A16" s="16" t="s">
        <v>354</v>
      </c>
      <c r="B16" s="19" t="s">
        <v>380</v>
      </c>
      <c r="C16" s="19"/>
      <c r="D16" s="19"/>
      <c r="E16" s="19"/>
      <c r="F16" s="19"/>
      <c r="G16" s="19"/>
    </row>
    <row r="17" spans="1:7" x14ac:dyDescent="0.35">
      <c r="A17" s="16" t="s">
        <v>355</v>
      </c>
      <c r="B17" s="19" t="s">
        <v>381</v>
      </c>
      <c r="C17" s="19"/>
      <c r="D17" s="19"/>
      <c r="E17" s="19"/>
      <c r="F17" s="19"/>
      <c r="G17" s="19"/>
    </row>
    <row r="18" spans="1:7" x14ac:dyDescent="0.35">
      <c r="A18" s="16" t="s">
        <v>356</v>
      </c>
      <c r="B18" s="19" t="s">
        <v>382</v>
      </c>
      <c r="C18" s="19"/>
      <c r="D18" s="19"/>
      <c r="E18" s="19"/>
      <c r="F18" s="19"/>
      <c r="G18" s="19"/>
    </row>
    <row r="19" spans="1:7" x14ac:dyDescent="0.35">
      <c r="A19" s="16" t="s">
        <v>357</v>
      </c>
      <c r="B19" s="19" t="s">
        <v>383</v>
      </c>
      <c r="C19" s="19"/>
      <c r="D19" s="19"/>
      <c r="E19" s="19"/>
      <c r="F19" s="19"/>
      <c r="G19" s="19"/>
    </row>
    <row r="20" spans="1:7" x14ac:dyDescent="0.35">
      <c r="A20" s="16" t="s">
        <v>358</v>
      </c>
      <c r="B20" s="19" t="s">
        <v>384</v>
      </c>
      <c r="C20" s="19"/>
      <c r="D20" s="19"/>
      <c r="E20" s="19"/>
      <c r="F20" s="19"/>
      <c r="G20" s="19"/>
    </row>
    <row r="21" spans="1:7" x14ac:dyDescent="0.35">
      <c r="A21" s="16" t="s">
        <v>359</v>
      </c>
      <c r="B21" s="19" t="s">
        <v>385</v>
      </c>
      <c r="C21" s="19"/>
      <c r="D21" s="19"/>
      <c r="E21" s="19"/>
      <c r="F21" s="19"/>
      <c r="G21" s="19"/>
    </row>
    <row r="22" spans="1:7" x14ac:dyDescent="0.35">
      <c r="A22" s="16" t="s">
        <v>360</v>
      </c>
      <c r="B22" s="19" t="s">
        <v>386</v>
      </c>
      <c r="C22" s="19"/>
      <c r="D22" s="19"/>
      <c r="E22" s="19"/>
      <c r="F22" s="19"/>
      <c r="G22" s="19"/>
    </row>
    <row r="23" spans="1:7" x14ac:dyDescent="0.35">
      <c r="A23" s="16" t="s">
        <v>361</v>
      </c>
      <c r="B23" s="19" t="s">
        <v>387</v>
      </c>
      <c r="C23" s="19"/>
      <c r="D23" s="19"/>
      <c r="E23" s="19"/>
      <c r="F23" s="19"/>
      <c r="G23" s="19"/>
    </row>
    <row r="24" spans="1:7" x14ac:dyDescent="0.35">
      <c r="A24" s="16" t="s">
        <v>362</v>
      </c>
      <c r="B24" s="19" t="s">
        <v>388</v>
      </c>
      <c r="C24" s="19"/>
      <c r="D24" s="19"/>
      <c r="E24" s="19"/>
      <c r="F24" s="19"/>
      <c r="G24" s="19"/>
    </row>
    <row r="25" spans="1:7" x14ac:dyDescent="0.35">
      <c r="A25" s="16" t="s">
        <v>363</v>
      </c>
      <c r="B25" s="19" t="s">
        <v>389</v>
      </c>
      <c r="C25" s="19"/>
      <c r="D25" s="19"/>
      <c r="E25" s="19"/>
      <c r="F25" s="19"/>
      <c r="G25" s="19"/>
    </row>
    <row r="26" spans="1:7" x14ac:dyDescent="0.35">
      <c r="A26" s="16" t="s">
        <v>364</v>
      </c>
      <c r="B26" s="19" t="s">
        <v>390</v>
      </c>
      <c r="C26" s="19"/>
      <c r="D26" s="19"/>
      <c r="E26" s="19"/>
      <c r="F26" s="19"/>
      <c r="G26" s="19"/>
    </row>
    <row r="27" spans="1:7" x14ac:dyDescent="0.35">
      <c r="A27" s="27" t="s">
        <v>365</v>
      </c>
      <c r="B27" t="s">
        <v>391</v>
      </c>
    </row>
    <row r="28" spans="1:7" x14ac:dyDescent="0.35">
      <c r="A28" s="27" t="s">
        <v>366</v>
      </c>
      <c r="B28" t="s">
        <v>392</v>
      </c>
    </row>
  </sheetData>
  <mergeCells count="6">
    <mergeCell ref="C1:C2"/>
    <mergeCell ref="B1:B2"/>
    <mergeCell ref="A1:A2"/>
    <mergeCell ref="G1:G2"/>
    <mergeCell ref="D1:E1"/>
    <mergeCell ref="F1:F2"/>
  </mergeCells>
  <pageMargins left="0.7" right="0.7" top="0.75" bottom="0.75" header="0.3" footer="0.3"/>
  <ignoredErrors>
    <ignoredError sqref="A3:A28"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38D76-DAD8-4B50-85C9-05BF7A1E7C8D}">
  <dimension ref="A2:C8"/>
  <sheetViews>
    <sheetView workbookViewId="0">
      <selection activeCell="B9" sqref="B9"/>
    </sheetView>
  </sheetViews>
  <sheetFormatPr defaultRowHeight="14.5" x14ac:dyDescent="0.35"/>
  <cols>
    <col min="1" max="1" width="20.36328125" bestFit="1" customWidth="1"/>
    <col min="2" max="2" width="13.1796875" bestFit="1" customWidth="1"/>
  </cols>
  <sheetData>
    <row r="2" spans="1:3" x14ac:dyDescent="0.35">
      <c r="A2" s="26" t="s">
        <v>213</v>
      </c>
      <c r="B2" t="s">
        <v>66</v>
      </c>
      <c r="C2">
        <v>1</v>
      </c>
    </row>
    <row r="3" spans="1:3" x14ac:dyDescent="0.35">
      <c r="A3" s="26" t="s">
        <v>214</v>
      </c>
      <c r="B3" t="s">
        <v>0</v>
      </c>
      <c r="C3">
        <v>2</v>
      </c>
    </row>
    <row r="4" spans="1:3" x14ac:dyDescent="0.35">
      <c r="A4" s="26" t="s">
        <v>215</v>
      </c>
      <c r="B4" t="s">
        <v>218</v>
      </c>
      <c r="C4">
        <v>3</v>
      </c>
    </row>
    <row r="5" spans="1:3" x14ac:dyDescent="0.35">
      <c r="A5" s="26" t="s">
        <v>216</v>
      </c>
      <c r="B5" t="s">
        <v>219</v>
      </c>
      <c r="C5">
        <v>4</v>
      </c>
    </row>
    <row r="6" spans="1:3" x14ac:dyDescent="0.35">
      <c r="A6" s="26" t="s">
        <v>217</v>
      </c>
      <c r="B6" t="s">
        <v>220</v>
      </c>
    </row>
    <row r="7" spans="1:3" x14ac:dyDescent="0.35">
      <c r="B7" t="s">
        <v>221</v>
      </c>
    </row>
    <row r="8" spans="1:3" x14ac:dyDescent="0.35">
      <c r="B8" t="s">
        <v>315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499AE-997F-49B4-8EBF-BA623AED0D18}">
  <dimension ref="A1:P114"/>
  <sheetViews>
    <sheetView tabSelected="1" zoomScale="60" zoomScaleNormal="60" workbookViewId="0">
      <selection activeCell="B1" sqref="B1"/>
    </sheetView>
  </sheetViews>
  <sheetFormatPr defaultRowHeight="16" x14ac:dyDescent="0.4"/>
  <cols>
    <col min="1" max="1" width="8.7265625" style="14"/>
    <col min="2" max="2" width="11.81640625" style="14" bestFit="1" customWidth="1"/>
    <col min="3" max="3" width="70.26953125" style="15" bestFit="1" customWidth="1"/>
    <col min="4" max="4" width="11.08984375" style="9" hidden="1" customWidth="1"/>
    <col min="5" max="5" width="22.54296875" style="14" customWidth="1"/>
    <col min="6" max="6" width="30.36328125" style="14" bestFit="1" customWidth="1"/>
    <col min="7" max="7" width="9.81640625" style="14" bestFit="1" customWidth="1"/>
    <col min="8" max="8" width="22" style="14" hidden="1" customWidth="1"/>
    <col min="9" max="9" width="26.26953125" style="14" hidden="1" customWidth="1"/>
    <col min="10" max="10" width="13.26953125" style="33" customWidth="1"/>
    <col min="11" max="11" width="9.81640625" style="33" bestFit="1" customWidth="1"/>
    <col min="12" max="12" width="17.26953125" style="49" bestFit="1" customWidth="1"/>
    <col min="13" max="13" width="24.08984375" style="31" bestFit="1" customWidth="1"/>
    <col min="14" max="14" width="20.08984375" style="33" bestFit="1" customWidth="1"/>
    <col min="15" max="15" width="19" style="36" bestFit="1" customWidth="1"/>
    <col min="16" max="16" width="27.36328125" style="47" bestFit="1" customWidth="1"/>
    <col min="17" max="16384" width="8.7265625" style="14"/>
  </cols>
  <sheetData>
    <row r="1" spans="1:16" ht="29" customHeight="1" x14ac:dyDescent="0.4">
      <c r="A1" s="3" t="s">
        <v>14</v>
      </c>
      <c r="B1" s="3" t="s">
        <v>12</v>
      </c>
      <c r="C1" s="1" t="s">
        <v>13</v>
      </c>
      <c r="D1" s="11" t="s">
        <v>45</v>
      </c>
      <c r="E1" s="10" t="s">
        <v>64</v>
      </c>
      <c r="F1" s="11" t="s">
        <v>49</v>
      </c>
      <c r="G1" s="12" t="s">
        <v>50</v>
      </c>
      <c r="H1" s="13" t="s">
        <v>15</v>
      </c>
      <c r="I1" s="12" t="s">
        <v>16</v>
      </c>
      <c r="J1" s="20" t="s">
        <v>206</v>
      </c>
      <c r="K1" s="20" t="s">
        <v>207</v>
      </c>
      <c r="L1" s="48" t="s">
        <v>208</v>
      </c>
      <c r="M1" s="21" t="s">
        <v>209</v>
      </c>
      <c r="N1" s="20" t="s">
        <v>210</v>
      </c>
      <c r="O1" s="34" t="s">
        <v>211</v>
      </c>
      <c r="P1" s="46" t="s">
        <v>212</v>
      </c>
    </row>
    <row r="2" spans="1:16" ht="31.5" customHeight="1" x14ac:dyDescent="0.4">
      <c r="A2" s="3">
        <v>1</v>
      </c>
      <c r="B2" s="4" t="s">
        <v>66</v>
      </c>
      <c r="C2" s="4" t="s">
        <v>67</v>
      </c>
      <c r="D2" s="4" t="s">
        <v>77</v>
      </c>
      <c r="E2" s="4" t="s">
        <v>18</v>
      </c>
      <c r="F2" s="4"/>
      <c r="G2" s="1" t="s">
        <v>17</v>
      </c>
      <c r="H2" s="4" t="str">
        <f>'[1]Store Input'!B7</f>
        <v>CTM Number</v>
      </c>
      <c r="I2" s="1">
        <f>1* '[1]Store Input'!C7</f>
        <v>0</v>
      </c>
      <c r="J2" s="28">
        <v>0.25</v>
      </c>
      <c r="K2" s="28">
        <v>0.91666666666666663</v>
      </c>
      <c r="L2" s="40"/>
      <c r="M2" s="30" t="s">
        <v>66</v>
      </c>
      <c r="N2" s="32">
        <v>1</v>
      </c>
      <c r="O2" s="35" t="s">
        <v>213</v>
      </c>
      <c r="P2" s="45" t="s">
        <v>234</v>
      </c>
    </row>
    <row r="3" spans="1:16" ht="31.5" customHeight="1" x14ac:dyDescent="0.4">
      <c r="A3" s="3">
        <v>2</v>
      </c>
      <c r="B3" s="4" t="s">
        <v>66</v>
      </c>
      <c r="C3" s="4" t="s">
        <v>68</v>
      </c>
      <c r="D3" s="4" t="s">
        <v>77</v>
      </c>
      <c r="E3" s="4">
        <v>5</v>
      </c>
      <c r="F3" s="1" t="s">
        <v>46</v>
      </c>
      <c r="G3" s="1" t="s">
        <v>19</v>
      </c>
      <c r="H3" s="4"/>
      <c r="I3" s="1"/>
      <c r="J3" s="28">
        <v>0.2361111111111111</v>
      </c>
      <c r="K3" s="28">
        <v>0.24305555555555555</v>
      </c>
      <c r="L3" s="59"/>
      <c r="M3" s="60" t="s">
        <v>219</v>
      </c>
      <c r="N3" s="61">
        <v>2</v>
      </c>
      <c r="O3" s="62" t="s">
        <v>214</v>
      </c>
      <c r="P3" s="64" t="s">
        <v>235</v>
      </c>
    </row>
    <row r="4" spans="1:16" ht="31.5" customHeight="1" x14ac:dyDescent="0.4">
      <c r="A4" s="3">
        <v>3</v>
      </c>
      <c r="B4" s="4" t="s">
        <v>66</v>
      </c>
      <c r="C4" s="4" t="s">
        <v>69</v>
      </c>
      <c r="D4" s="4" t="s">
        <v>77</v>
      </c>
      <c r="E4" s="4">
        <v>5</v>
      </c>
      <c r="F4" s="1" t="s">
        <v>47</v>
      </c>
      <c r="G4" s="1" t="s">
        <v>19</v>
      </c>
      <c r="H4" s="4"/>
      <c r="I4" s="1"/>
      <c r="J4" s="65">
        <v>0.24652777777777779</v>
      </c>
      <c r="K4" s="28">
        <v>0.25</v>
      </c>
      <c r="L4" s="59"/>
      <c r="M4" s="60" t="s">
        <v>66</v>
      </c>
      <c r="N4" s="61">
        <v>1</v>
      </c>
      <c r="O4" s="62" t="s">
        <v>214</v>
      </c>
      <c r="P4" s="64" t="s">
        <v>236</v>
      </c>
    </row>
    <row r="5" spans="1:16" ht="145" x14ac:dyDescent="0.4">
      <c r="A5" s="3">
        <v>4</v>
      </c>
      <c r="B5" s="4" t="s">
        <v>66</v>
      </c>
      <c r="C5" s="8" t="s">
        <v>70</v>
      </c>
      <c r="D5" s="4" t="s">
        <v>77</v>
      </c>
      <c r="E5" s="4">
        <v>10</v>
      </c>
      <c r="F5" s="7" t="s">
        <v>48</v>
      </c>
      <c r="G5" s="1" t="s">
        <v>19</v>
      </c>
      <c r="H5" s="4"/>
      <c r="I5" s="1"/>
      <c r="J5" s="29" t="s">
        <v>230</v>
      </c>
      <c r="K5" s="29" t="s">
        <v>231</v>
      </c>
      <c r="L5" s="40"/>
      <c r="M5" s="30" t="s">
        <v>219</v>
      </c>
      <c r="N5" s="32">
        <v>2</v>
      </c>
      <c r="O5" s="35" t="s">
        <v>214</v>
      </c>
      <c r="P5" s="45" t="s">
        <v>237</v>
      </c>
    </row>
    <row r="6" spans="1:16" ht="72.5" x14ac:dyDescent="0.4">
      <c r="A6" s="3">
        <v>5</v>
      </c>
      <c r="B6" s="4" t="s">
        <v>66</v>
      </c>
      <c r="C6" s="8" t="s">
        <v>71</v>
      </c>
      <c r="D6" s="4" t="s">
        <v>77</v>
      </c>
      <c r="E6" s="4">
        <v>10</v>
      </c>
      <c r="F6" s="22" t="s">
        <v>51</v>
      </c>
      <c r="G6" s="1" t="s">
        <v>19</v>
      </c>
      <c r="H6" s="4"/>
      <c r="I6" s="1"/>
      <c r="J6" s="29" t="s">
        <v>232</v>
      </c>
      <c r="K6" s="29" t="s">
        <v>233</v>
      </c>
      <c r="L6" s="40"/>
      <c r="M6" s="30" t="s">
        <v>219</v>
      </c>
      <c r="N6" s="32">
        <v>2</v>
      </c>
      <c r="O6" s="35" t="s">
        <v>214</v>
      </c>
      <c r="P6" s="45" t="s">
        <v>238</v>
      </c>
    </row>
    <row r="7" spans="1:16" ht="58" x14ac:dyDescent="0.4">
      <c r="A7" s="3">
        <v>6</v>
      </c>
      <c r="B7" s="4" t="s">
        <v>66</v>
      </c>
      <c r="C7" s="4" t="s">
        <v>75</v>
      </c>
      <c r="D7" s="4" t="s">
        <v>77</v>
      </c>
      <c r="E7" s="4">
        <v>10</v>
      </c>
      <c r="F7" s="22" t="s">
        <v>51</v>
      </c>
      <c r="G7" s="1" t="s">
        <v>19</v>
      </c>
      <c r="H7" s="4"/>
      <c r="I7" s="1"/>
      <c r="J7" s="29" t="s">
        <v>232</v>
      </c>
      <c r="K7" s="29" t="s">
        <v>233</v>
      </c>
      <c r="L7" s="40"/>
      <c r="M7" s="30" t="s">
        <v>219</v>
      </c>
      <c r="N7" s="32">
        <v>2</v>
      </c>
      <c r="O7" s="35" t="s">
        <v>214</v>
      </c>
      <c r="P7" s="40"/>
    </row>
    <row r="8" spans="1:16" ht="31.5" customHeight="1" x14ac:dyDescent="0.4">
      <c r="A8" s="3">
        <v>7</v>
      </c>
      <c r="B8" s="4" t="s">
        <v>66</v>
      </c>
      <c r="C8" s="8" t="s">
        <v>72</v>
      </c>
      <c r="D8" s="4" t="s">
        <v>77</v>
      </c>
      <c r="E8" s="4" t="s">
        <v>20</v>
      </c>
      <c r="F8" s="7" t="s">
        <v>52</v>
      </c>
      <c r="G8" s="1" t="s">
        <v>19</v>
      </c>
      <c r="H8" s="4"/>
      <c r="I8" s="1"/>
      <c r="J8" s="39" t="s">
        <v>240</v>
      </c>
      <c r="K8" s="38" t="s">
        <v>239</v>
      </c>
      <c r="L8" s="40"/>
      <c r="M8" s="30" t="s">
        <v>218</v>
      </c>
      <c r="N8" s="32">
        <v>1</v>
      </c>
      <c r="O8" s="35" t="s">
        <v>213</v>
      </c>
      <c r="P8" s="40"/>
    </row>
    <row r="9" spans="1:16" ht="31.5" customHeight="1" x14ac:dyDescent="0.4">
      <c r="A9" s="3">
        <v>8</v>
      </c>
      <c r="B9" s="4" t="s">
        <v>66</v>
      </c>
      <c r="C9" s="8" t="s">
        <v>73</v>
      </c>
      <c r="D9" s="4" t="s">
        <v>77</v>
      </c>
      <c r="E9" s="4">
        <v>20</v>
      </c>
      <c r="F9" s="7" t="s">
        <v>46</v>
      </c>
      <c r="G9" s="1" t="s">
        <v>19</v>
      </c>
      <c r="H9" s="4"/>
      <c r="I9" s="1"/>
      <c r="J9" s="37">
        <v>0.91666666666666663</v>
      </c>
      <c r="K9" s="37">
        <v>0.93055555555555558</v>
      </c>
      <c r="L9" s="40"/>
      <c r="M9" s="30" t="s">
        <v>219</v>
      </c>
      <c r="N9" s="32">
        <v>2</v>
      </c>
      <c r="O9" s="35" t="s">
        <v>214</v>
      </c>
      <c r="P9" s="40"/>
    </row>
    <row r="10" spans="1:16" ht="31.5" customHeight="1" x14ac:dyDescent="0.4">
      <c r="A10" s="3">
        <v>9</v>
      </c>
      <c r="B10" s="4" t="s">
        <v>66</v>
      </c>
      <c r="C10" s="8" t="s">
        <v>74</v>
      </c>
      <c r="D10" s="4" t="s">
        <v>77</v>
      </c>
      <c r="E10" s="4">
        <v>15</v>
      </c>
      <c r="F10" s="7" t="s">
        <v>46</v>
      </c>
      <c r="G10" s="1" t="s">
        <v>19</v>
      </c>
      <c r="H10" s="4"/>
      <c r="I10" s="1"/>
      <c r="J10" s="37">
        <v>0.5625</v>
      </c>
      <c r="K10" s="37">
        <v>0.57291666666666663</v>
      </c>
      <c r="L10" s="40"/>
      <c r="M10" s="30" t="s">
        <v>219</v>
      </c>
      <c r="N10" s="32">
        <v>2</v>
      </c>
      <c r="O10" s="35" t="s">
        <v>214</v>
      </c>
      <c r="P10" s="40"/>
    </row>
    <row r="11" spans="1:16" ht="31.5" customHeight="1" x14ac:dyDescent="0.4">
      <c r="A11" s="3">
        <v>10</v>
      </c>
      <c r="B11" s="4" t="s">
        <v>66</v>
      </c>
      <c r="C11" s="8" t="s">
        <v>76</v>
      </c>
      <c r="D11" s="4" t="s">
        <v>77</v>
      </c>
      <c r="E11" s="4">
        <v>10</v>
      </c>
      <c r="F11" s="7" t="s">
        <v>46</v>
      </c>
      <c r="G11" s="1" t="s">
        <v>19</v>
      </c>
      <c r="H11" s="4"/>
      <c r="I11" s="1"/>
      <c r="J11" s="37">
        <v>0.93055555555555558</v>
      </c>
      <c r="K11" s="37">
        <v>0.9375</v>
      </c>
      <c r="L11" s="40"/>
      <c r="M11" s="30" t="s">
        <v>218</v>
      </c>
      <c r="N11" s="32">
        <v>1</v>
      </c>
      <c r="O11" s="35" t="s">
        <v>214</v>
      </c>
      <c r="P11" s="40"/>
    </row>
    <row r="12" spans="1:16" ht="31.5" customHeight="1" x14ac:dyDescent="0.4">
      <c r="A12" s="3">
        <v>11</v>
      </c>
      <c r="B12" s="1" t="s">
        <v>0</v>
      </c>
      <c r="C12" s="7" t="s">
        <v>78</v>
      </c>
      <c r="D12" s="4" t="s">
        <v>77</v>
      </c>
      <c r="E12" s="4">
        <v>5</v>
      </c>
      <c r="F12" s="7" t="s">
        <v>47</v>
      </c>
      <c r="G12" s="5" t="s">
        <v>19</v>
      </c>
      <c r="H12" s="4"/>
      <c r="I12" s="1"/>
      <c r="J12" s="38" t="s">
        <v>305</v>
      </c>
      <c r="K12" s="38" t="s">
        <v>306</v>
      </c>
      <c r="L12" s="40" t="s">
        <v>242</v>
      </c>
      <c r="M12" s="30" t="s">
        <v>0</v>
      </c>
      <c r="N12" s="32">
        <v>1</v>
      </c>
      <c r="O12" s="35" t="s">
        <v>216</v>
      </c>
      <c r="P12" s="40" t="s">
        <v>304</v>
      </c>
    </row>
    <row r="13" spans="1:16" ht="31.5" customHeight="1" x14ac:dyDescent="0.4">
      <c r="A13" s="3">
        <v>12</v>
      </c>
      <c r="B13" s="1" t="s">
        <v>0</v>
      </c>
      <c r="C13" s="7" t="s">
        <v>79</v>
      </c>
      <c r="D13" s="4" t="s">
        <v>77</v>
      </c>
      <c r="E13" s="4">
        <v>30</v>
      </c>
      <c r="F13" s="7" t="s">
        <v>46</v>
      </c>
      <c r="G13" s="5" t="s">
        <v>17</v>
      </c>
      <c r="H13" s="4" t="s">
        <v>21</v>
      </c>
      <c r="I13" s="1"/>
      <c r="J13" s="32" t="s">
        <v>241</v>
      </c>
      <c r="K13" s="37">
        <v>0.625</v>
      </c>
      <c r="L13" s="40" t="s">
        <v>243</v>
      </c>
      <c r="M13" s="30" t="s">
        <v>0</v>
      </c>
      <c r="N13" s="32">
        <v>1</v>
      </c>
      <c r="O13" s="35" t="s">
        <v>216</v>
      </c>
      <c r="P13" s="40" t="s">
        <v>304</v>
      </c>
    </row>
    <row r="14" spans="1:16" ht="31.5" customHeight="1" x14ac:dyDescent="0.4">
      <c r="A14" s="3">
        <v>13</v>
      </c>
      <c r="B14" s="1" t="s">
        <v>0</v>
      </c>
      <c r="C14" s="7" t="s">
        <v>80</v>
      </c>
      <c r="D14" s="4" t="s">
        <v>77</v>
      </c>
      <c r="E14" s="4" t="s">
        <v>24</v>
      </c>
      <c r="F14" s="7" t="s">
        <v>22</v>
      </c>
      <c r="G14" s="5" t="s">
        <v>17</v>
      </c>
      <c r="H14" s="4" t="s">
        <v>23</v>
      </c>
      <c r="I14" s="1"/>
      <c r="J14" s="32" t="s">
        <v>244</v>
      </c>
      <c r="K14" s="37">
        <v>0.45833333333333331</v>
      </c>
      <c r="L14" s="40" t="s">
        <v>245</v>
      </c>
      <c r="M14" s="30" t="s">
        <v>0</v>
      </c>
      <c r="N14" s="32">
        <v>1</v>
      </c>
      <c r="O14" s="35" t="s">
        <v>215</v>
      </c>
      <c r="P14" s="40" t="s">
        <v>304</v>
      </c>
    </row>
    <row r="15" spans="1:16" ht="31.5" customHeight="1" x14ac:dyDescent="0.4">
      <c r="A15" s="3">
        <v>14</v>
      </c>
      <c r="B15" s="1" t="s">
        <v>0</v>
      </c>
      <c r="C15" s="7" t="s">
        <v>81</v>
      </c>
      <c r="D15" s="4" t="s">
        <v>77</v>
      </c>
      <c r="E15" s="4" t="s">
        <v>25</v>
      </c>
      <c r="F15" s="7" t="s">
        <v>22</v>
      </c>
      <c r="G15" s="5" t="s">
        <v>17</v>
      </c>
      <c r="H15" s="4" t="s">
        <v>23</v>
      </c>
      <c r="I15" s="1"/>
      <c r="J15" s="37">
        <v>0.29166666666666669</v>
      </c>
      <c r="K15" s="37">
        <v>0.33333333333333331</v>
      </c>
      <c r="L15" s="40"/>
      <c r="M15" s="30" t="s">
        <v>0</v>
      </c>
      <c r="N15" s="32">
        <v>1</v>
      </c>
      <c r="O15" s="35" t="s">
        <v>215</v>
      </c>
      <c r="P15" s="40" t="s">
        <v>304</v>
      </c>
    </row>
    <row r="16" spans="1:16" ht="31.5" customHeight="1" x14ac:dyDescent="0.4">
      <c r="A16" s="3">
        <v>15</v>
      </c>
      <c r="B16" s="1" t="s">
        <v>0</v>
      </c>
      <c r="C16" s="7" t="s">
        <v>83</v>
      </c>
      <c r="D16" s="4" t="s">
        <v>180</v>
      </c>
      <c r="E16" s="4">
        <v>15</v>
      </c>
      <c r="F16" s="7" t="s">
        <v>53</v>
      </c>
      <c r="G16" s="5" t="s">
        <v>19</v>
      </c>
      <c r="H16" s="4"/>
      <c r="I16" s="1"/>
      <c r="J16" s="37">
        <v>0.39583333333333331</v>
      </c>
      <c r="K16" s="37">
        <v>0.40625</v>
      </c>
      <c r="L16" s="40" t="s">
        <v>242</v>
      </c>
      <c r="M16" s="30" t="s">
        <v>0</v>
      </c>
      <c r="N16" s="32">
        <v>1</v>
      </c>
      <c r="O16" s="35" t="s">
        <v>216</v>
      </c>
      <c r="P16" s="40" t="s">
        <v>304</v>
      </c>
    </row>
    <row r="17" spans="1:16" ht="31.5" customHeight="1" x14ac:dyDescent="0.4">
      <c r="A17" s="3">
        <v>16</v>
      </c>
      <c r="B17" s="1" t="s">
        <v>0</v>
      </c>
      <c r="C17" s="7" t="s">
        <v>82</v>
      </c>
      <c r="D17" s="4" t="s">
        <v>77</v>
      </c>
      <c r="E17" s="4">
        <v>10</v>
      </c>
      <c r="F17" s="7" t="s">
        <v>47</v>
      </c>
      <c r="G17" s="5" t="s">
        <v>19</v>
      </c>
      <c r="H17" s="4"/>
      <c r="I17" s="1"/>
      <c r="J17" s="37">
        <v>0.54166666666666663</v>
      </c>
      <c r="K17" s="37">
        <v>0.54861111111111116</v>
      </c>
      <c r="L17" s="40"/>
      <c r="M17" s="30" t="s">
        <v>0</v>
      </c>
      <c r="N17" s="32">
        <v>1</v>
      </c>
      <c r="O17" s="35" t="s">
        <v>217</v>
      </c>
      <c r="P17" s="40" t="s">
        <v>303</v>
      </c>
    </row>
    <row r="18" spans="1:16" ht="31.5" customHeight="1" x14ac:dyDescent="0.4">
      <c r="A18" s="3">
        <v>17</v>
      </c>
      <c r="B18" s="1" t="s">
        <v>1</v>
      </c>
      <c r="C18" s="7" t="s">
        <v>84</v>
      </c>
      <c r="D18" s="4" t="s">
        <v>77</v>
      </c>
      <c r="E18" s="1">
        <v>5</v>
      </c>
      <c r="F18" s="7" t="s">
        <v>47</v>
      </c>
      <c r="G18" s="5" t="s">
        <v>19</v>
      </c>
      <c r="H18" s="4"/>
      <c r="I18" s="1"/>
      <c r="J18" s="39" t="s">
        <v>246</v>
      </c>
      <c r="K18" s="39" t="s">
        <v>247</v>
      </c>
      <c r="L18" s="40"/>
      <c r="M18" s="30" t="s">
        <v>218</v>
      </c>
      <c r="N18" s="32">
        <v>1</v>
      </c>
      <c r="O18" s="35" t="s">
        <v>214</v>
      </c>
      <c r="P18" s="44"/>
    </row>
    <row r="19" spans="1:16" ht="31.5" customHeight="1" x14ac:dyDescent="0.4">
      <c r="A19" s="3">
        <v>18</v>
      </c>
      <c r="B19" s="1" t="s">
        <v>1</v>
      </c>
      <c r="C19" s="7" t="s">
        <v>85</v>
      </c>
      <c r="D19" s="2" t="s">
        <v>179</v>
      </c>
      <c r="E19" s="1">
        <v>15</v>
      </c>
      <c r="F19" s="7" t="s">
        <v>54</v>
      </c>
      <c r="G19" s="5" t="s">
        <v>19</v>
      </c>
      <c r="H19" s="4"/>
      <c r="I19" s="1"/>
      <c r="J19" s="37">
        <v>0.625</v>
      </c>
      <c r="K19" s="37">
        <v>0.63194444444444442</v>
      </c>
      <c r="L19" s="40" t="s">
        <v>248</v>
      </c>
      <c r="M19" s="30" t="s">
        <v>221</v>
      </c>
      <c r="N19" s="32">
        <v>1</v>
      </c>
      <c r="O19" s="35" t="s">
        <v>217</v>
      </c>
      <c r="P19" s="44"/>
    </row>
    <row r="20" spans="1:16" ht="31.5" customHeight="1" x14ac:dyDescent="0.4">
      <c r="A20" s="3">
        <v>19</v>
      </c>
      <c r="B20" s="1" t="s">
        <v>1</v>
      </c>
      <c r="C20" s="1" t="s">
        <v>86</v>
      </c>
      <c r="D20" s="41" t="s">
        <v>77</v>
      </c>
      <c r="E20" s="1">
        <v>7</v>
      </c>
      <c r="F20" s="4" t="s">
        <v>46</v>
      </c>
      <c r="G20" s="5" t="s">
        <v>19</v>
      </c>
      <c r="H20" s="41"/>
      <c r="I20" s="23"/>
      <c r="J20" s="58">
        <v>0.22916666666666666</v>
      </c>
      <c r="K20" s="58">
        <v>0.23402777777777778</v>
      </c>
      <c r="L20" s="59"/>
      <c r="M20" s="30" t="s">
        <v>218</v>
      </c>
      <c r="N20" s="61">
        <v>1</v>
      </c>
      <c r="O20" s="62" t="s">
        <v>214</v>
      </c>
      <c r="P20" s="63"/>
    </row>
    <row r="21" spans="1:16" ht="31.5" customHeight="1" x14ac:dyDescent="0.4">
      <c r="A21" s="3">
        <v>20</v>
      </c>
      <c r="B21" s="1" t="s">
        <v>1</v>
      </c>
      <c r="C21" s="7" t="s">
        <v>87</v>
      </c>
      <c r="D21" s="4" t="s">
        <v>77</v>
      </c>
      <c r="E21" s="4">
        <v>60</v>
      </c>
      <c r="F21" s="23"/>
      <c r="G21" s="5" t="s">
        <v>19</v>
      </c>
      <c r="H21" s="4"/>
      <c r="I21" s="1"/>
      <c r="J21" s="32"/>
      <c r="K21" s="32"/>
      <c r="L21" s="40"/>
      <c r="M21" s="30" t="s">
        <v>218</v>
      </c>
      <c r="N21" s="32">
        <v>1</v>
      </c>
      <c r="O21" s="35" t="s">
        <v>217</v>
      </c>
      <c r="P21" s="44"/>
    </row>
    <row r="22" spans="1:16" ht="31.5" customHeight="1" x14ac:dyDescent="0.4">
      <c r="A22" s="3">
        <v>21</v>
      </c>
      <c r="B22" s="1" t="s">
        <v>1</v>
      </c>
      <c r="C22" s="7" t="s">
        <v>88</v>
      </c>
      <c r="D22" s="4" t="s">
        <v>77</v>
      </c>
      <c r="E22" s="1">
        <v>5</v>
      </c>
      <c r="F22" s="7" t="s">
        <v>47</v>
      </c>
      <c r="G22" s="5" t="s">
        <v>19</v>
      </c>
      <c r="H22" s="4"/>
      <c r="I22" s="1"/>
      <c r="J22" s="38" t="s">
        <v>249</v>
      </c>
      <c r="K22" s="38" t="s">
        <v>250</v>
      </c>
      <c r="L22" s="40"/>
      <c r="M22" s="30" t="s">
        <v>219</v>
      </c>
      <c r="N22" s="32">
        <v>2</v>
      </c>
      <c r="O22" s="35" t="s">
        <v>214</v>
      </c>
      <c r="P22" s="44"/>
    </row>
    <row r="23" spans="1:16" ht="31.5" customHeight="1" x14ac:dyDescent="0.4">
      <c r="A23" s="3">
        <v>22</v>
      </c>
      <c r="B23" s="1" t="s">
        <v>1</v>
      </c>
      <c r="C23" s="7" t="s">
        <v>89</v>
      </c>
      <c r="D23" s="4" t="s">
        <v>77</v>
      </c>
      <c r="E23" s="1">
        <v>15</v>
      </c>
      <c r="F23" s="7" t="s">
        <v>47</v>
      </c>
      <c r="G23" s="5" t="s">
        <v>19</v>
      </c>
      <c r="H23" s="4"/>
      <c r="I23" s="1"/>
      <c r="J23" s="32"/>
      <c r="K23" s="32"/>
      <c r="L23" s="40"/>
      <c r="M23" s="30" t="s">
        <v>218</v>
      </c>
      <c r="N23" s="32">
        <v>1</v>
      </c>
      <c r="O23" s="35" t="s">
        <v>214</v>
      </c>
      <c r="P23" s="44"/>
    </row>
    <row r="24" spans="1:16" ht="31.5" customHeight="1" x14ac:dyDescent="0.4">
      <c r="A24" s="3">
        <v>23</v>
      </c>
      <c r="B24" s="1" t="s">
        <v>1</v>
      </c>
      <c r="C24" s="7" t="s">
        <v>90</v>
      </c>
      <c r="D24" s="4" t="s">
        <v>77</v>
      </c>
      <c r="E24" s="1">
        <v>15</v>
      </c>
      <c r="F24" s="7" t="s">
        <v>55</v>
      </c>
      <c r="G24" s="5" t="s">
        <v>19</v>
      </c>
      <c r="H24" s="4"/>
      <c r="I24" s="1"/>
      <c r="J24" s="32"/>
      <c r="K24" s="32"/>
      <c r="L24" s="40"/>
      <c r="M24" s="30" t="s">
        <v>218</v>
      </c>
      <c r="N24" s="32">
        <v>1</v>
      </c>
      <c r="O24" s="35" t="s">
        <v>217</v>
      </c>
      <c r="P24" s="44"/>
    </row>
    <row r="25" spans="1:16" ht="31.5" customHeight="1" x14ac:dyDescent="0.4">
      <c r="A25" s="3">
        <v>24</v>
      </c>
      <c r="B25" s="1" t="s">
        <v>1</v>
      </c>
      <c r="C25" s="7" t="s">
        <v>91</v>
      </c>
      <c r="D25" s="4" t="s">
        <v>77</v>
      </c>
      <c r="E25" s="1">
        <v>15</v>
      </c>
      <c r="F25" s="7" t="s">
        <v>46</v>
      </c>
      <c r="G25" s="5" t="s">
        <v>19</v>
      </c>
      <c r="H25" s="4"/>
      <c r="I25" s="1"/>
      <c r="J25" s="32"/>
      <c r="K25" s="32"/>
      <c r="L25" s="40"/>
      <c r="M25" s="30" t="s">
        <v>218</v>
      </c>
      <c r="N25" s="32">
        <v>1</v>
      </c>
      <c r="O25" s="35" t="s">
        <v>217</v>
      </c>
      <c r="P25" s="44"/>
    </row>
    <row r="26" spans="1:16" ht="31.5" customHeight="1" x14ac:dyDescent="0.4">
      <c r="A26" s="3">
        <v>25</v>
      </c>
      <c r="B26" s="1" t="s">
        <v>1</v>
      </c>
      <c r="C26" s="7" t="s">
        <v>92</v>
      </c>
      <c r="D26" s="2" t="s">
        <v>179</v>
      </c>
      <c r="E26" s="1">
        <v>240</v>
      </c>
      <c r="F26" s="7" t="s">
        <v>54</v>
      </c>
      <c r="G26" s="5" t="s">
        <v>19</v>
      </c>
      <c r="H26" s="4"/>
      <c r="I26" s="1"/>
      <c r="J26" s="32"/>
      <c r="K26" s="32"/>
      <c r="L26" s="40"/>
      <c r="M26" s="30" t="s">
        <v>218</v>
      </c>
      <c r="N26" s="32">
        <v>1</v>
      </c>
      <c r="O26" s="35" t="s">
        <v>214</v>
      </c>
      <c r="P26" s="44"/>
    </row>
    <row r="27" spans="1:16" ht="31.5" customHeight="1" x14ac:dyDescent="0.4">
      <c r="A27" s="3">
        <v>26</v>
      </c>
      <c r="B27" s="1" t="s">
        <v>1</v>
      </c>
      <c r="C27" s="7" t="s">
        <v>93</v>
      </c>
      <c r="D27" s="4" t="s">
        <v>77</v>
      </c>
      <c r="E27" s="1">
        <v>10</v>
      </c>
      <c r="F27" s="7" t="s">
        <v>46</v>
      </c>
      <c r="G27" s="5" t="s">
        <v>19</v>
      </c>
      <c r="H27" s="4"/>
      <c r="I27" s="1"/>
      <c r="J27" s="32"/>
      <c r="K27" s="32"/>
      <c r="L27" s="40"/>
      <c r="M27" s="30" t="s">
        <v>218</v>
      </c>
      <c r="N27" s="32">
        <v>1</v>
      </c>
      <c r="O27" s="35" t="s">
        <v>214</v>
      </c>
      <c r="P27" s="44"/>
    </row>
    <row r="28" spans="1:16" ht="31.5" customHeight="1" x14ac:dyDescent="0.4">
      <c r="A28" s="3">
        <v>27</v>
      </c>
      <c r="B28" s="1" t="s">
        <v>1</v>
      </c>
      <c r="C28" s="7" t="s">
        <v>94</v>
      </c>
      <c r="D28" s="4" t="s">
        <v>180</v>
      </c>
      <c r="E28" s="1">
        <v>5</v>
      </c>
      <c r="F28" s="7" t="s">
        <v>56</v>
      </c>
      <c r="G28" s="5" t="s">
        <v>19</v>
      </c>
      <c r="H28" s="4"/>
      <c r="I28" s="1"/>
      <c r="J28" s="32"/>
      <c r="K28" s="32"/>
      <c r="L28" s="40"/>
      <c r="M28" s="30" t="s">
        <v>218</v>
      </c>
      <c r="N28" s="32">
        <v>2</v>
      </c>
      <c r="O28" s="35" t="s">
        <v>214</v>
      </c>
      <c r="P28" s="44"/>
    </row>
    <row r="29" spans="1:16" ht="31.5" customHeight="1" x14ac:dyDescent="0.4">
      <c r="A29" s="3">
        <v>28</v>
      </c>
      <c r="B29" s="1" t="s">
        <v>1</v>
      </c>
      <c r="C29" s="7" t="s">
        <v>95</v>
      </c>
      <c r="D29" s="4" t="s">
        <v>77</v>
      </c>
      <c r="E29" s="1">
        <v>10</v>
      </c>
      <c r="F29" s="7" t="s">
        <v>47</v>
      </c>
      <c r="G29" s="5" t="s">
        <v>19</v>
      </c>
      <c r="H29" s="4"/>
      <c r="I29" s="1"/>
      <c r="J29" s="32"/>
      <c r="K29" s="32"/>
      <c r="L29" s="40"/>
      <c r="M29" s="30" t="s">
        <v>218</v>
      </c>
      <c r="N29" s="32">
        <v>1</v>
      </c>
      <c r="O29" s="35" t="s">
        <v>214</v>
      </c>
      <c r="P29" s="44"/>
    </row>
    <row r="30" spans="1:16" ht="31.5" customHeight="1" x14ac:dyDescent="0.4">
      <c r="A30" s="3">
        <v>29</v>
      </c>
      <c r="B30" s="1" t="s">
        <v>1</v>
      </c>
      <c r="C30" s="4" t="s">
        <v>172</v>
      </c>
      <c r="D30" s="4" t="s">
        <v>77</v>
      </c>
      <c r="E30" s="1">
        <v>10</v>
      </c>
      <c r="F30" s="7" t="s">
        <v>47</v>
      </c>
      <c r="G30" s="5" t="s">
        <v>19</v>
      </c>
      <c r="H30" s="4"/>
      <c r="I30" s="1"/>
      <c r="J30" s="32"/>
      <c r="K30" s="32"/>
      <c r="L30" s="40"/>
      <c r="M30" s="30" t="s">
        <v>218</v>
      </c>
      <c r="N30" s="32">
        <v>1</v>
      </c>
      <c r="O30" s="35" t="s">
        <v>214</v>
      </c>
      <c r="P30" s="44"/>
    </row>
    <row r="31" spans="1:16" ht="31.5" customHeight="1" x14ac:dyDescent="0.4">
      <c r="A31" s="3">
        <v>30</v>
      </c>
      <c r="B31" s="1" t="s">
        <v>1</v>
      </c>
      <c r="C31" s="1" t="s">
        <v>96</v>
      </c>
      <c r="D31" s="4" t="s">
        <v>77</v>
      </c>
      <c r="E31" s="4">
        <v>30</v>
      </c>
      <c r="F31" s="1"/>
      <c r="G31" s="5" t="s">
        <v>19</v>
      </c>
      <c r="H31" s="4"/>
      <c r="I31" s="1"/>
      <c r="J31" s="32"/>
      <c r="K31" s="32"/>
      <c r="L31" s="40"/>
      <c r="M31" s="30" t="s">
        <v>219</v>
      </c>
      <c r="N31" s="32">
        <v>2</v>
      </c>
      <c r="O31" s="35" t="s">
        <v>214</v>
      </c>
      <c r="P31" s="44"/>
    </row>
    <row r="32" spans="1:16" ht="31.5" customHeight="1" x14ac:dyDescent="0.4">
      <c r="A32" s="3">
        <v>31</v>
      </c>
      <c r="B32" s="1" t="s">
        <v>1</v>
      </c>
      <c r="C32" s="1" t="s">
        <v>97</v>
      </c>
      <c r="D32" s="4" t="s">
        <v>180</v>
      </c>
      <c r="E32" s="4">
        <v>60</v>
      </c>
      <c r="F32" s="1"/>
      <c r="G32" s="5" t="s">
        <v>19</v>
      </c>
      <c r="H32" s="4"/>
      <c r="I32" s="1"/>
      <c r="J32" s="32"/>
      <c r="K32" s="32"/>
      <c r="L32" s="40"/>
      <c r="M32" s="30" t="s">
        <v>219</v>
      </c>
      <c r="N32" s="32">
        <v>2</v>
      </c>
      <c r="O32" s="35" t="s">
        <v>214</v>
      </c>
      <c r="P32" s="44"/>
    </row>
    <row r="33" spans="1:16" ht="31.5" customHeight="1" x14ac:dyDescent="0.4">
      <c r="A33" s="3">
        <v>32</v>
      </c>
      <c r="B33" s="1" t="s">
        <v>1</v>
      </c>
      <c r="C33" s="1" t="s">
        <v>98</v>
      </c>
      <c r="D33" s="4" t="s">
        <v>180</v>
      </c>
      <c r="E33" s="4">
        <v>60</v>
      </c>
      <c r="F33" s="1"/>
      <c r="G33" s="5" t="s">
        <v>19</v>
      </c>
      <c r="H33" s="4"/>
      <c r="I33" s="1"/>
      <c r="J33" s="32"/>
      <c r="K33" s="32"/>
      <c r="L33" s="40"/>
      <c r="M33" s="30" t="s">
        <v>219</v>
      </c>
      <c r="N33" s="32">
        <v>2</v>
      </c>
      <c r="O33" s="35" t="s">
        <v>214</v>
      </c>
      <c r="P33" s="44"/>
    </row>
    <row r="34" spans="1:16" ht="31.5" customHeight="1" x14ac:dyDescent="0.4">
      <c r="A34" s="3">
        <v>33</v>
      </c>
      <c r="B34" s="1" t="s">
        <v>1</v>
      </c>
      <c r="C34" s="4" t="s">
        <v>101</v>
      </c>
      <c r="D34" s="4" t="s">
        <v>180</v>
      </c>
      <c r="E34" s="4">
        <v>60</v>
      </c>
      <c r="F34" s="1"/>
      <c r="G34" s="5" t="s">
        <v>19</v>
      </c>
      <c r="H34" s="4"/>
      <c r="I34" s="1"/>
      <c r="J34" s="32"/>
      <c r="K34" s="32"/>
      <c r="L34" s="40"/>
      <c r="M34" s="30" t="s">
        <v>218</v>
      </c>
      <c r="N34" s="32">
        <v>1</v>
      </c>
      <c r="O34" s="35" t="s">
        <v>217</v>
      </c>
      <c r="P34" s="44"/>
    </row>
    <row r="35" spans="1:16" ht="31.5" customHeight="1" x14ac:dyDescent="0.4">
      <c r="A35" s="3">
        <v>34</v>
      </c>
      <c r="B35" s="1" t="s">
        <v>1</v>
      </c>
      <c r="C35" s="4" t="s">
        <v>100</v>
      </c>
      <c r="D35" s="4" t="s">
        <v>180</v>
      </c>
      <c r="E35" s="4">
        <v>30</v>
      </c>
      <c r="F35" s="1"/>
      <c r="G35" s="5" t="s">
        <v>19</v>
      </c>
      <c r="H35" s="4"/>
      <c r="I35" s="1"/>
      <c r="J35" s="32"/>
      <c r="K35" s="32"/>
      <c r="L35" s="40"/>
      <c r="M35" s="30" t="s">
        <v>218</v>
      </c>
      <c r="N35" s="32">
        <v>1</v>
      </c>
      <c r="O35" s="35" t="s">
        <v>217</v>
      </c>
      <c r="P35" s="44"/>
    </row>
    <row r="36" spans="1:16" ht="31.5" customHeight="1" x14ac:dyDescent="0.4">
      <c r="A36" s="3">
        <v>35</v>
      </c>
      <c r="B36" s="1" t="s">
        <v>1</v>
      </c>
      <c r="C36" s="4" t="s">
        <v>99</v>
      </c>
      <c r="D36" s="4" t="s">
        <v>180</v>
      </c>
      <c r="E36" s="4">
        <v>15</v>
      </c>
      <c r="F36" s="1"/>
      <c r="G36" s="5" t="s">
        <v>19</v>
      </c>
      <c r="H36" s="4"/>
      <c r="I36" s="1"/>
      <c r="J36" s="32"/>
      <c r="K36" s="32"/>
      <c r="L36" s="40"/>
      <c r="M36" s="30" t="s">
        <v>218</v>
      </c>
      <c r="N36" s="32">
        <v>1</v>
      </c>
      <c r="O36" s="35" t="s">
        <v>214</v>
      </c>
      <c r="P36" s="44"/>
    </row>
    <row r="37" spans="1:16" ht="31.5" customHeight="1" x14ac:dyDescent="0.4">
      <c r="A37" s="3">
        <v>36</v>
      </c>
      <c r="B37" s="1" t="s">
        <v>1</v>
      </c>
      <c r="C37" s="4" t="s">
        <v>102</v>
      </c>
      <c r="D37" s="4" t="s">
        <v>180</v>
      </c>
      <c r="E37" s="4">
        <v>30</v>
      </c>
      <c r="F37" s="1"/>
      <c r="G37" s="5" t="s">
        <v>19</v>
      </c>
      <c r="H37" s="4"/>
      <c r="I37" s="1"/>
      <c r="J37" s="32"/>
      <c r="K37" s="32"/>
      <c r="L37" s="40"/>
      <c r="M37" s="30" t="s">
        <v>218</v>
      </c>
      <c r="N37" s="32">
        <v>1</v>
      </c>
      <c r="O37" s="35" t="s">
        <v>217</v>
      </c>
      <c r="P37" s="44"/>
    </row>
    <row r="38" spans="1:16" ht="31.5" customHeight="1" x14ac:dyDescent="0.4">
      <c r="A38" s="3">
        <v>37</v>
      </c>
      <c r="B38" s="1" t="s">
        <v>1</v>
      </c>
      <c r="C38" s="4" t="s">
        <v>103</v>
      </c>
      <c r="D38" s="4" t="s">
        <v>77</v>
      </c>
      <c r="E38" s="4">
        <v>30</v>
      </c>
      <c r="F38" s="1"/>
      <c r="G38" s="5" t="s">
        <v>19</v>
      </c>
      <c r="H38" s="4"/>
      <c r="I38" s="1"/>
      <c r="J38" s="32"/>
      <c r="K38" s="32"/>
      <c r="L38" s="40"/>
      <c r="M38" s="30" t="s">
        <v>218</v>
      </c>
      <c r="N38" s="32">
        <v>1</v>
      </c>
      <c r="O38" s="35" t="s">
        <v>213</v>
      </c>
      <c r="P38" s="44"/>
    </row>
    <row r="39" spans="1:16" ht="31.5" customHeight="1" x14ac:dyDescent="0.4">
      <c r="A39" s="3">
        <v>38</v>
      </c>
      <c r="B39" s="1" t="s">
        <v>1</v>
      </c>
      <c r="C39" s="4" t="s">
        <v>104</v>
      </c>
      <c r="D39" s="4" t="s">
        <v>77</v>
      </c>
      <c r="E39" s="4">
        <v>15</v>
      </c>
      <c r="F39" s="1"/>
      <c r="G39" s="5" t="s">
        <v>19</v>
      </c>
      <c r="H39" s="4"/>
      <c r="I39" s="1"/>
      <c r="J39" s="32"/>
      <c r="K39" s="32"/>
      <c r="L39" s="40"/>
      <c r="M39" s="30" t="s">
        <v>218</v>
      </c>
      <c r="N39" s="32">
        <v>1</v>
      </c>
      <c r="O39" s="35" t="s">
        <v>217</v>
      </c>
      <c r="P39" s="44"/>
    </row>
    <row r="40" spans="1:16" ht="31.5" customHeight="1" x14ac:dyDescent="0.4">
      <c r="A40" s="3">
        <v>39</v>
      </c>
      <c r="B40" s="1" t="s">
        <v>1</v>
      </c>
      <c r="C40" s="4" t="s">
        <v>105</v>
      </c>
      <c r="D40" s="4" t="s">
        <v>77</v>
      </c>
      <c r="E40" s="4">
        <v>15</v>
      </c>
      <c r="F40" s="1"/>
      <c r="G40" s="5" t="s">
        <v>19</v>
      </c>
      <c r="H40" s="4"/>
      <c r="I40" s="1"/>
      <c r="J40" s="32"/>
      <c r="K40" s="32"/>
      <c r="L40" s="40"/>
      <c r="M40" s="30" t="s">
        <v>218</v>
      </c>
      <c r="N40" s="32">
        <v>1</v>
      </c>
      <c r="O40" s="35" t="s">
        <v>214</v>
      </c>
      <c r="P40" s="44"/>
    </row>
    <row r="41" spans="1:16" ht="31.5" customHeight="1" x14ac:dyDescent="0.4">
      <c r="A41" s="3">
        <v>40</v>
      </c>
      <c r="B41" s="1" t="s">
        <v>1</v>
      </c>
      <c r="C41" s="4" t="s">
        <v>106</v>
      </c>
      <c r="D41" s="4" t="s">
        <v>77</v>
      </c>
      <c r="E41" s="4">
        <v>30</v>
      </c>
      <c r="F41" s="1"/>
      <c r="G41" s="5" t="s">
        <v>19</v>
      </c>
      <c r="H41" s="4"/>
      <c r="I41" s="1"/>
      <c r="J41" s="32"/>
      <c r="K41" s="32"/>
      <c r="L41" s="40"/>
      <c r="M41" s="30" t="s">
        <v>218</v>
      </c>
      <c r="N41" s="32">
        <v>1</v>
      </c>
      <c r="O41" s="35" t="s">
        <v>214</v>
      </c>
      <c r="P41" s="44"/>
    </row>
    <row r="42" spans="1:16" ht="31.5" customHeight="1" x14ac:dyDescent="0.4">
      <c r="A42" s="3">
        <v>41</v>
      </c>
      <c r="B42" s="1" t="s">
        <v>1</v>
      </c>
      <c r="C42" s="4" t="s">
        <v>107</v>
      </c>
      <c r="D42" s="2" t="s">
        <v>179</v>
      </c>
      <c r="E42" s="4">
        <v>15</v>
      </c>
      <c r="F42" s="1"/>
      <c r="G42" s="5" t="s">
        <v>19</v>
      </c>
      <c r="H42" s="4"/>
      <c r="I42" s="1"/>
      <c r="J42" s="32"/>
      <c r="K42" s="32"/>
      <c r="L42" s="40"/>
      <c r="M42" s="30" t="s">
        <v>219</v>
      </c>
      <c r="N42" s="32">
        <v>2</v>
      </c>
      <c r="O42" s="35" t="s">
        <v>214</v>
      </c>
      <c r="P42" s="44"/>
    </row>
    <row r="43" spans="1:16" ht="31.5" customHeight="1" x14ac:dyDescent="0.4">
      <c r="A43" s="3">
        <v>42</v>
      </c>
      <c r="B43" s="1" t="s">
        <v>2</v>
      </c>
      <c r="C43" s="4" t="s">
        <v>108</v>
      </c>
      <c r="D43" s="2" t="s">
        <v>179</v>
      </c>
      <c r="E43" s="4">
        <v>40</v>
      </c>
      <c r="F43" s="22" t="s">
        <v>57</v>
      </c>
      <c r="G43" s="5" t="s">
        <v>19</v>
      </c>
      <c r="H43" s="4"/>
      <c r="I43" s="1"/>
      <c r="J43" s="37">
        <v>0.90972222222222221</v>
      </c>
      <c r="K43" s="37">
        <v>0.9375</v>
      </c>
      <c r="L43" s="40"/>
      <c r="M43" s="30" t="s">
        <v>219</v>
      </c>
      <c r="N43" s="32">
        <v>2</v>
      </c>
      <c r="O43" s="35" t="s">
        <v>214</v>
      </c>
      <c r="P43" s="44" t="s">
        <v>326</v>
      </c>
    </row>
    <row r="44" spans="1:16" ht="31.5" customHeight="1" x14ac:dyDescent="0.4">
      <c r="A44" s="3">
        <v>43</v>
      </c>
      <c r="B44" s="1" t="s">
        <v>2</v>
      </c>
      <c r="C44" s="4" t="s">
        <v>173</v>
      </c>
      <c r="D44" s="2" t="s">
        <v>179</v>
      </c>
      <c r="E44" s="4">
        <v>60</v>
      </c>
      <c r="F44" s="22" t="s">
        <v>54</v>
      </c>
      <c r="G44" s="5" t="s">
        <v>19</v>
      </c>
      <c r="H44" s="4"/>
      <c r="I44" s="1"/>
      <c r="J44" s="37">
        <v>0.29166666666666669</v>
      </c>
      <c r="K44" s="37">
        <v>0.33333333333333331</v>
      </c>
      <c r="L44" s="40"/>
      <c r="M44" s="30" t="s">
        <v>219</v>
      </c>
      <c r="N44" s="32">
        <v>2</v>
      </c>
      <c r="O44" s="35" t="s">
        <v>214</v>
      </c>
      <c r="P44" s="44" t="s">
        <v>325</v>
      </c>
    </row>
    <row r="45" spans="1:16" ht="31.5" customHeight="1" x14ac:dyDescent="0.4">
      <c r="A45" s="3">
        <v>44</v>
      </c>
      <c r="B45" s="1" t="s">
        <v>2</v>
      </c>
      <c r="C45" s="4" t="s">
        <v>174</v>
      </c>
      <c r="D45" s="4" t="s">
        <v>77</v>
      </c>
      <c r="E45" s="4">
        <v>10</v>
      </c>
      <c r="F45" s="7" t="s">
        <v>47</v>
      </c>
      <c r="G45" s="5" t="s">
        <v>19</v>
      </c>
      <c r="H45" s="4"/>
      <c r="I45" s="1"/>
      <c r="J45" s="38" t="s">
        <v>307</v>
      </c>
      <c r="K45" s="38" t="s">
        <v>308</v>
      </c>
      <c r="L45" s="40"/>
      <c r="M45" s="30" t="s">
        <v>219</v>
      </c>
      <c r="N45" s="32">
        <v>4</v>
      </c>
      <c r="O45" s="35" t="s">
        <v>214</v>
      </c>
      <c r="P45" s="44" t="s">
        <v>309</v>
      </c>
    </row>
    <row r="46" spans="1:16" ht="31.5" customHeight="1" x14ac:dyDescent="0.4">
      <c r="A46" s="3">
        <v>45</v>
      </c>
      <c r="B46" s="1" t="s">
        <v>2</v>
      </c>
      <c r="C46" s="4" t="s">
        <v>109</v>
      </c>
      <c r="D46" s="2" t="s">
        <v>179</v>
      </c>
      <c r="E46" s="4">
        <v>180</v>
      </c>
      <c r="F46" s="22" t="s">
        <v>54</v>
      </c>
      <c r="G46" s="5" t="s">
        <v>19</v>
      </c>
      <c r="H46" s="4"/>
      <c r="I46" s="1"/>
      <c r="J46" s="37">
        <v>0.79166666666666663</v>
      </c>
      <c r="K46" s="37">
        <v>0.91666666666666663</v>
      </c>
      <c r="L46" s="40"/>
      <c r="M46" s="30" t="s">
        <v>218</v>
      </c>
      <c r="N46" s="32">
        <v>1</v>
      </c>
      <c r="O46" s="35" t="s">
        <v>214</v>
      </c>
      <c r="P46" s="44" t="s">
        <v>324</v>
      </c>
    </row>
    <row r="47" spans="1:16" ht="31.5" customHeight="1" x14ac:dyDescent="0.4">
      <c r="A47" s="3">
        <v>46</v>
      </c>
      <c r="B47" s="1" t="s">
        <v>2</v>
      </c>
      <c r="C47" s="4" t="s">
        <v>110</v>
      </c>
      <c r="D47" s="2" t="s">
        <v>179</v>
      </c>
      <c r="E47" s="4">
        <v>180</v>
      </c>
      <c r="F47" s="22" t="s">
        <v>54</v>
      </c>
      <c r="G47" s="5" t="s">
        <v>19</v>
      </c>
      <c r="H47" s="4"/>
      <c r="I47" s="1"/>
      <c r="J47" s="37">
        <v>0.79166666666666663</v>
      </c>
      <c r="K47" s="37">
        <v>0.91666666666666663</v>
      </c>
      <c r="L47" s="40"/>
      <c r="M47" s="30" t="s">
        <v>221</v>
      </c>
      <c r="N47" s="32">
        <v>2</v>
      </c>
      <c r="O47" s="35" t="s">
        <v>214</v>
      </c>
      <c r="P47" s="44" t="s">
        <v>324</v>
      </c>
    </row>
    <row r="48" spans="1:16" ht="31.5" customHeight="1" x14ac:dyDescent="0.4">
      <c r="A48" s="3">
        <v>48</v>
      </c>
      <c r="B48" s="1" t="s">
        <v>2</v>
      </c>
      <c r="C48" s="4" t="s">
        <v>111</v>
      </c>
      <c r="D48" s="2" t="s">
        <v>179</v>
      </c>
      <c r="E48" s="4">
        <v>60</v>
      </c>
      <c r="F48" s="1" t="s">
        <v>54</v>
      </c>
      <c r="G48" s="5" t="s">
        <v>17</v>
      </c>
      <c r="H48" s="4" t="s">
        <v>26</v>
      </c>
      <c r="I48" s="1"/>
      <c r="J48" s="32"/>
      <c r="K48" s="32"/>
      <c r="L48" s="40"/>
      <c r="M48" s="30"/>
      <c r="N48" s="32"/>
      <c r="O48" s="35"/>
      <c r="P48" s="44"/>
    </row>
    <row r="49" spans="1:16" ht="31.5" customHeight="1" x14ac:dyDescent="0.4">
      <c r="A49" s="3">
        <v>49</v>
      </c>
      <c r="B49" s="1" t="s">
        <v>2</v>
      </c>
      <c r="C49" s="4" t="s">
        <v>112</v>
      </c>
      <c r="D49" s="4" t="s">
        <v>180</v>
      </c>
      <c r="E49" s="4">
        <v>30</v>
      </c>
      <c r="F49" s="6" t="s">
        <v>59</v>
      </c>
      <c r="G49" s="5" t="s">
        <v>27</v>
      </c>
      <c r="H49" s="4"/>
      <c r="I49" s="1"/>
      <c r="J49" s="37">
        <v>0.85416666666666663</v>
      </c>
      <c r="K49" s="37">
        <v>0.875</v>
      </c>
      <c r="L49" s="40"/>
      <c r="M49" s="30" t="s">
        <v>221</v>
      </c>
      <c r="N49" s="32">
        <v>1</v>
      </c>
      <c r="O49" s="35" t="s">
        <v>216</v>
      </c>
      <c r="P49" s="44" t="s">
        <v>323</v>
      </c>
    </row>
    <row r="50" spans="1:16" ht="31.5" customHeight="1" x14ac:dyDescent="0.4">
      <c r="A50" s="3">
        <v>50</v>
      </c>
      <c r="B50" s="1" t="s">
        <v>2</v>
      </c>
      <c r="C50" s="4" t="s">
        <v>113</v>
      </c>
      <c r="D50" s="4" t="s">
        <v>77</v>
      </c>
      <c r="E50" s="4">
        <v>60</v>
      </c>
      <c r="F50" s="7" t="s">
        <v>47</v>
      </c>
      <c r="G50" s="5" t="s">
        <v>19</v>
      </c>
      <c r="H50" s="4"/>
      <c r="I50" s="1"/>
      <c r="J50" s="38" t="s">
        <v>320</v>
      </c>
      <c r="K50" s="38" t="s">
        <v>321</v>
      </c>
      <c r="L50" s="40" t="s">
        <v>322</v>
      </c>
      <c r="M50" s="30" t="s">
        <v>315</v>
      </c>
      <c r="N50" s="32">
        <v>2</v>
      </c>
      <c r="O50" s="35" t="s">
        <v>214</v>
      </c>
      <c r="P50" s="44" t="s">
        <v>319</v>
      </c>
    </row>
    <row r="51" spans="1:16" ht="64" x14ac:dyDescent="0.4">
      <c r="A51" s="3">
        <v>51</v>
      </c>
      <c r="B51" s="1" t="s">
        <v>2</v>
      </c>
      <c r="C51" s="4" t="s">
        <v>114</v>
      </c>
      <c r="D51" s="4" t="s">
        <v>77</v>
      </c>
      <c r="E51" s="4">
        <v>5</v>
      </c>
      <c r="F51" s="22" t="s">
        <v>60</v>
      </c>
      <c r="G51" s="5" t="s">
        <v>19</v>
      </c>
      <c r="H51" s="4"/>
      <c r="I51" s="1"/>
      <c r="J51" s="38" t="s">
        <v>313</v>
      </c>
      <c r="K51" s="38" t="s">
        <v>314</v>
      </c>
      <c r="L51" s="40"/>
      <c r="M51" s="30" t="s">
        <v>315</v>
      </c>
      <c r="N51" s="32">
        <v>1</v>
      </c>
      <c r="O51" s="35" t="s">
        <v>214</v>
      </c>
      <c r="P51" s="44" t="s">
        <v>316</v>
      </c>
    </row>
    <row r="52" spans="1:16" ht="31.5" customHeight="1" x14ac:dyDescent="0.4">
      <c r="A52" s="3">
        <v>52</v>
      </c>
      <c r="B52" s="1" t="s">
        <v>2</v>
      </c>
      <c r="C52" s="4" t="s">
        <v>115</v>
      </c>
      <c r="D52" s="2" t="s">
        <v>179</v>
      </c>
      <c r="E52" s="4">
        <v>15</v>
      </c>
      <c r="F52" s="22" t="s">
        <v>57</v>
      </c>
      <c r="G52" s="5" t="s">
        <v>19</v>
      </c>
      <c r="H52" s="4"/>
      <c r="I52" s="1"/>
      <c r="J52" s="37">
        <v>0.90625</v>
      </c>
      <c r="K52" s="37">
        <v>0.91666666666666663</v>
      </c>
      <c r="L52" s="40"/>
      <c r="M52" s="30" t="s">
        <v>221</v>
      </c>
      <c r="N52" s="32">
        <v>1</v>
      </c>
      <c r="O52" s="35" t="s">
        <v>214</v>
      </c>
      <c r="P52" s="44" t="s">
        <v>317</v>
      </c>
    </row>
    <row r="53" spans="1:16" ht="31.5" customHeight="1" x14ac:dyDescent="0.4">
      <c r="A53" s="3">
        <v>53</v>
      </c>
      <c r="B53" s="1" t="s">
        <v>2</v>
      </c>
      <c r="C53" s="4" t="s">
        <v>170</v>
      </c>
      <c r="D53" s="2" t="s">
        <v>179</v>
      </c>
      <c r="E53" s="4">
        <v>15</v>
      </c>
      <c r="F53" s="22" t="s">
        <v>57</v>
      </c>
      <c r="G53" s="5" t="s">
        <v>19</v>
      </c>
      <c r="H53" s="4"/>
      <c r="I53" s="1"/>
      <c r="J53" s="37">
        <v>0.90625</v>
      </c>
      <c r="K53" s="37">
        <v>0.91666666666666663</v>
      </c>
      <c r="L53" s="40"/>
      <c r="M53" s="30" t="s">
        <v>221</v>
      </c>
      <c r="N53" s="32">
        <v>1</v>
      </c>
      <c r="O53" s="35" t="s">
        <v>214</v>
      </c>
      <c r="P53" s="44" t="s">
        <v>318</v>
      </c>
    </row>
    <row r="54" spans="1:16" ht="31.5" customHeight="1" x14ac:dyDescent="0.4">
      <c r="A54" s="3">
        <v>54</v>
      </c>
      <c r="B54" s="1" t="s">
        <v>2</v>
      </c>
      <c r="C54" s="4" t="s">
        <v>116</v>
      </c>
      <c r="D54" s="4" t="s">
        <v>77</v>
      </c>
      <c r="E54" s="4" t="s">
        <v>30</v>
      </c>
      <c r="F54" s="1"/>
      <c r="G54" s="5" t="s">
        <v>28</v>
      </c>
      <c r="H54" s="4" t="s">
        <v>29</v>
      </c>
      <c r="I54" s="1"/>
      <c r="J54" s="38" t="s">
        <v>310</v>
      </c>
      <c r="K54" s="38" t="s">
        <v>311</v>
      </c>
      <c r="L54" s="40"/>
      <c r="M54" s="30" t="s">
        <v>221</v>
      </c>
      <c r="N54" s="32">
        <v>1</v>
      </c>
      <c r="O54" s="35" t="s">
        <v>213</v>
      </c>
      <c r="P54" s="44" t="s">
        <v>312</v>
      </c>
    </row>
    <row r="55" spans="1:16" ht="31.5" customHeight="1" x14ac:dyDescent="0.4">
      <c r="A55" s="3">
        <v>55</v>
      </c>
      <c r="B55" s="1" t="s">
        <v>3</v>
      </c>
      <c r="C55" s="4" t="s">
        <v>117</v>
      </c>
      <c r="D55" s="4" t="s">
        <v>77</v>
      </c>
      <c r="E55" s="1">
        <v>15</v>
      </c>
      <c r="F55" s="7" t="s">
        <v>47</v>
      </c>
      <c r="G55" s="5" t="s">
        <v>19</v>
      </c>
      <c r="H55" s="4"/>
      <c r="I55" s="1"/>
      <c r="J55" s="39" t="s">
        <v>327</v>
      </c>
      <c r="K55" s="38" t="s">
        <v>328</v>
      </c>
      <c r="L55" s="40"/>
      <c r="M55" s="30" t="s">
        <v>66</v>
      </c>
      <c r="N55" s="32">
        <v>1</v>
      </c>
      <c r="O55" s="35" t="s">
        <v>214</v>
      </c>
      <c r="P55" s="44" t="s">
        <v>329</v>
      </c>
    </row>
    <row r="56" spans="1:16" ht="31.5" customHeight="1" x14ac:dyDescent="0.4">
      <c r="A56" s="3">
        <v>56</v>
      </c>
      <c r="B56" s="1" t="s">
        <v>3</v>
      </c>
      <c r="C56" s="4" t="s">
        <v>118</v>
      </c>
      <c r="D56" s="4" t="s">
        <v>77</v>
      </c>
      <c r="E56" s="1">
        <v>5</v>
      </c>
      <c r="F56" s="7" t="s">
        <v>47</v>
      </c>
      <c r="G56" s="5" t="s">
        <v>19</v>
      </c>
      <c r="H56" s="4"/>
      <c r="I56" s="1"/>
      <c r="J56" s="38" t="s">
        <v>330</v>
      </c>
      <c r="K56" s="38" t="s">
        <v>331</v>
      </c>
      <c r="L56" s="40"/>
      <c r="M56" s="30" t="s">
        <v>218</v>
      </c>
      <c r="N56" s="32">
        <v>1</v>
      </c>
      <c r="O56" s="35" t="s">
        <v>214</v>
      </c>
      <c r="P56" s="44"/>
    </row>
    <row r="57" spans="1:16" ht="31.5" customHeight="1" x14ac:dyDescent="0.4">
      <c r="A57" s="3">
        <v>57</v>
      </c>
      <c r="B57" s="1" t="s">
        <v>3</v>
      </c>
      <c r="C57" s="4" t="s">
        <v>119</v>
      </c>
      <c r="D57" s="4" t="s">
        <v>77</v>
      </c>
      <c r="E57" s="1">
        <v>10</v>
      </c>
      <c r="F57" s="7" t="s">
        <v>47</v>
      </c>
      <c r="G57" s="5" t="s">
        <v>19</v>
      </c>
      <c r="H57" s="4"/>
      <c r="I57" s="1"/>
      <c r="J57" s="38" t="s">
        <v>333</v>
      </c>
      <c r="K57" s="38" t="s">
        <v>334</v>
      </c>
      <c r="L57" s="40"/>
      <c r="M57" s="30" t="s">
        <v>221</v>
      </c>
      <c r="N57" s="32">
        <v>1</v>
      </c>
      <c r="O57" s="35" t="s">
        <v>214</v>
      </c>
      <c r="P57" s="44"/>
    </row>
    <row r="58" spans="1:16" ht="31.5" customHeight="1" x14ac:dyDescent="0.4">
      <c r="A58" s="3">
        <v>58</v>
      </c>
      <c r="B58" s="1" t="s">
        <v>3</v>
      </c>
      <c r="C58" s="4" t="s">
        <v>120</v>
      </c>
      <c r="D58" s="4" t="s">
        <v>77</v>
      </c>
      <c r="E58" s="1">
        <v>10</v>
      </c>
      <c r="F58" s="7" t="s">
        <v>47</v>
      </c>
      <c r="G58" s="5" t="s">
        <v>19</v>
      </c>
      <c r="H58" s="4"/>
      <c r="I58" s="1"/>
      <c r="J58" s="38" t="s">
        <v>335</v>
      </c>
      <c r="K58" s="38" t="s">
        <v>336</v>
      </c>
      <c r="L58" s="40"/>
      <c r="M58" s="30" t="s">
        <v>0</v>
      </c>
      <c r="N58" s="32">
        <v>1</v>
      </c>
      <c r="O58" s="35" t="s">
        <v>214</v>
      </c>
      <c r="P58" s="44"/>
    </row>
    <row r="59" spans="1:16" ht="31.5" customHeight="1" x14ac:dyDescent="0.4">
      <c r="A59" s="3">
        <v>59</v>
      </c>
      <c r="B59" s="1" t="s">
        <v>3</v>
      </c>
      <c r="C59" s="4" t="s">
        <v>121</v>
      </c>
      <c r="D59" s="4" t="s">
        <v>77</v>
      </c>
      <c r="E59" s="1">
        <v>30</v>
      </c>
      <c r="F59" s="7" t="s">
        <v>46</v>
      </c>
      <c r="G59" s="5" t="s">
        <v>19</v>
      </c>
      <c r="H59" s="4"/>
      <c r="I59" s="1"/>
      <c r="J59" s="39" t="s">
        <v>337</v>
      </c>
      <c r="K59" s="38" t="s">
        <v>338</v>
      </c>
      <c r="L59" s="40"/>
      <c r="M59" s="30" t="s">
        <v>221</v>
      </c>
      <c r="N59" s="32">
        <v>1</v>
      </c>
      <c r="O59" s="35" t="s">
        <v>214</v>
      </c>
      <c r="P59" s="44"/>
    </row>
    <row r="60" spans="1:16" ht="31.5" customHeight="1" x14ac:dyDescent="0.4">
      <c r="A60" s="3">
        <v>60</v>
      </c>
      <c r="B60" s="1" t="s">
        <v>3</v>
      </c>
      <c r="C60" s="4" t="s">
        <v>122</v>
      </c>
      <c r="D60" s="4" t="s">
        <v>77</v>
      </c>
      <c r="E60" s="1">
        <v>20</v>
      </c>
      <c r="F60" s="7" t="s">
        <v>46</v>
      </c>
      <c r="G60" s="5" t="s">
        <v>19</v>
      </c>
      <c r="H60" s="4"/>
      <c r="I60" s="1"/>
      <c r="J60" s="38" t="s">
        <v>335</v>
      </c>
      <c r="K60" s="38" t="s">
        <v>336</v>
      </c>
      <c r="L60" s="40"/>
      <c r="M60" s="30" t="s">
        <v>221</v>
      </c>
      <c r="N60" s="32">
        <v>1</v>
      </c>
      <c r="O60" s="35" t="s">
        <v>214</v>
      </c>
      <c r="P60" s="44"/>
    </row>
    <row r="61" spans="1:16" ht="31.5" customHeight="1" x14ac:dyDescent="0.4">
      <c r="A61" s="3">
        <v>61</v>
      </c>
      <c r="B61" s="1" t="s">
        <v>3</v>
      </c>
      <c r="C61" s="4" t="s">
        <v>123</v>
      </c>
      <c r="D61" s="2" t="s">
        <v>179</v>
      </c>
      <c r="E61" s="1">
        <v>60</v>
      </c>
      <c r="F61" s="1" t="s">
        <v>54</v>
      </c>
      <c r="G61" s="5" t="s">
        <v>19</v>
      </c>
      <c r="H61" s="4"/>
      <c r="I61" s="1"/>
      <c r="J61" s="32"/>
      <c r="K61" s="32"/>
      <c r="L61" s="40"/>
      <c r="M61" s="30" t="s">
        <v>221</v>
      </c>
      <c r="N61" s="32"/>
      <c r="O61" s="35" t="s">
        <v>217</v>
      </c>
      <c r="P61" s="44" t="s">
        <v>340</v>
      </c>
    </row>
    <row r="62" spans="1:16" ht="31.5" customHeight="1" x14ac:dyDescent="0.4">
      <c r="A62" s="3">
        <v>62</v>
      </c>
      <c r="B62" s="1" t="s">
        <v>3</v>
      </c>
      <c r="C62" s="4" t="s">
        <v>4</v>
      </c>
      <c r="D62" s="4" t="s">
        <v>77</v>
      </c>
      <c r="E62" s="1">
        <v>15</v>
      </c>
      <c r="F62" s="7" t="s">
        <v>46</v>
      </c>
      <c r="G62" s="5" t="s">
        <v>19</v>
      </c>
      <c r="H62" s="4"/>
      <c r="I62" s="1"/>
      <c r="J62" s="37">
        <v>0.375</v>
      </c>
      <c r="K62" s="37">
        <v>0.38541666666666669</v>
      </c>
      <c r="L62" s="40"/>
      <c r="M62" s="30" t="s">
        <v>315</v>
      </c>
      <c r="N62" s="32">
        <v>3</v>
      </c>
      <c r="O62" s="35" t="s">
        <v>214</v>
      </c>
      <c r="P62" s="44"/>
    </row>
    <row r="63" spans="1:16" ht="31.5" customHeight="1" x14ac:dyDescent="0.4">
      <c r="A63" s="3">
        <v>63</v>
      </c>
      <c r="B63" s="1" t="s">
        <v>3</v>
      </c>
      <c r="C63" s="4" t="s">
        <v>5</v>
      </c>
      <c r="D63" s="4" t="s">
        <v>77</v>
      </c>
      <c r="E63" s="1">
        <v>15</v>
      </c>
      <c r="F63" s="7" t="s">
        <v>46</v>
      </c>
      <c r="G63" s="5" t="s">
        <v>19</v>
      </c>
      <c r="H63" s="4"/>
      <c r="I63" s="1"/>
      <c r="J63" s="37">
        <v>0.625</v>
      </c>
      <c r="K63" s="37">
        <v>0.63541666666666663</v>
      </c>
      <c r="L63" s="40"/>
      <c r="M63" s="30" t="s">
        <v>315</v>
      </c>
      <c r="N63" s="32">
        <v>3</v>
      </c>
      <c r="O63" s="35" t="s">
        <v>214</v>
      </c>
      <c r="P63" s="44"/>
    </row>
    <row r="64" spans="1:16" ht="31.5" customHeight="1" x14ac:dyDescent="0.4">
      <c r="A64" s="3">
        <v>64</v>
      </c>
      <c r="B64" s="1" t="s">
        <v>3</v>
      </c>
      <c r="C64" s="4" t="s">
        <v>6</v>
      </c>
      <c r="D64" s="4" t="s">
        <v>77</v>
      </c>
      <c r="E64" s="1">
        <v>15</v>
      </c>
      <c r="F64" s="7" t="s">
        <v>46</v>
      </c>
      <c r="G64" s="5" t="s">
        <v>19</v>
      </c>
      <c r="H64" s="4"/>
      <c r="I64" s="1"/>
      <c r="J64" s="37">
        <v>0.83333333333333337</v>
      </c>
      <c r="K64" s="37">
        <v>0.84375</v>
      </c>
      <c r="L64" s="40"/>
      <c r="M64" s="30" t="s">
        <v>315</v>
      </c>
      <c r="N64" s="32">
        <v>3</v>
      </c>
      <c r="O64" s="35" t="s">
        <v>214</v>
      </c>
      <c r="P64" s="44"/>
    </row>
    <row r="65" spans="1:16" ht="31.5" customHeight="1" x14ac:dyDescent="0.4">
      <c r="A65" s="3">
        <v>65</v>
      </c>
      <c r="B65" s="1" t="s">
        <v>3</v>
      </c>
      <c r="C65" s="4" t="s">
        <v>124</v>
      </c>
      <c r="D65" s="4" t="s">
        <v>77</v>
      </c>
      <c r="E65" s="1">
        <v>10</v>
      </c>
      <c r="F65" s="7" t="s">
        <v>46</v>
      </c>
      <c r="G65" s="5" t="s">
        <v>19</v>
      </c>
      <c r="H65" s="4"/>
      <c r="I65" s="1"/>
      <c r="J65" s="37">
        <v>0.85416666666666663</v>
      </c>
      <c r="K65" s="37">
        <v>0.86111111111111116</v>
      </c>
      <c r="L65" s="40"/>
      <c r="M65" s="30" t="s">
        <v>66</v>
      </c>
      <c r="N65" s="32">
        <v>1</v>
      </c>
      <c r="O65" s="35" t="s">
        <v>214</v>
      </c>
      <c r="P65" s="44"/>
    </row>
    <row r="66" spans="1:16" ht="48" x14ac:dyDescent="0.4">
      <c r="A66" s="3">
        <v>66</v>
      </c>
      <c r="B66" s="1" t="s">
        <v>3</v>
      </c>
      <c r="C66" s="4" t="s">
        <v>125</v>
      </c>
      <c r="D66" s="4" t="s">
        <v>77</v>
      </c>
      <c r="E66" s="1">
        <v>5</v>
      </c>
      <c r="F66" s="7" t="s">
        <v>48</v>
      </c>
      <c r="G66" s="5" t="s">
        <v>19</v>
      </c>
      <c r="H66" s="4"/>
      <c r="I66" s="1"/>
      <c r="J66" s="38" t="s">
        <v>294</v>
      </c>
      <c r="K66" s="38" t="s">
        <v>295</v>
      </c>
      <c r="L66" s="40"/>
      <c r="M66" s="30" t="s">
        <v>0</v>
      </c>
      <c r="N66" s="32">
        <v>1</v>
      </c>
      <c r="O66" s="35" t="s">
        <v>214</v>
      </c>
      <c r="P66" s="44"/>
    </row>
    <row r="67" spans="1:16" ht="31.5" customHeight="1" x14ac:dyDescent="0.4">
      <c r="A67" s="3">
        <v>67</v>
      </c>
      <c r="B67" s="1" t="s">
        <v>3</v>
      </c>
      <c r="C67" s="4" t="s">
        <v>126</v>
      </c>
      <c r="D67" s="4" t="s">
        <v>77</v>
      </c>
      <c r="E67" s="1">
        <v>15</v>
      </c>
      <c r="F67" s="7" t="s">
        <v>46</v>
      </c>
      <c r="G67" s="5" t="s">
        <v>19</v>
      </c>
      <c r="H67" s="4"/>
      <c r="I67" s="1"/>
      <c r="J67" s="37">
        <v>0.91666666666666663</v>
      </c>
      <c r="K67" s="37">
        <v>0.92708333333333337</v>
      </c>
      <c r="L67" s="40"/>
      <c r="M67" s="30" t="s">
        <v>66</v>
      </c>
      <c r="N67" s="32">
        <v>1</v>
      </c>
      <c r="O67" s="35" t="s">
        <v>214</v>
      </c>
      <c r="P67" s="44"/>
    </row>
    <row r="68" spans="1:16" ht="31.5" customHeight="1" x14ac:dyDescent="0.4">
      <c r="A68" s="3">
        <v>68</v>
      </c>
      <c r="B68" s="1" t="s">
        <v>3</v>
      </c>
      <c r="C68" s="4" t="s">
        <v>127</v>
      </c>
      <c r="D68" s="4" t="s">
        <v>77</v>
      </c>
      <c r="E68" s="1">
        <v>15</v>
      </c>
      <c r="F68" s="7" t="s">
        <v>47</v>
      </c>
      <c r="G68" s="5" t="s">
        <v>19</v>
      </c>
      <c r="H68" s="4"/>
      <c r="I68" s="1"/>
      <c r="J68" s="39" t="s">
        <v>339</v>
      </c>
      <c r="K68" s="38" t="s">
        <v>336</v>
      </c>
      <c r="L68" s="40"/>
      <c r="M68" s="30" t="s">
        <v>220</v>
      </c>
      <c r="N68" s="32">
        <v>1</v>
      </c>
      <c r="O68" s="35" t="s">
        <v>214</v>
      </c>
      <c r="P68" s="44"/>
    </row>
    <row r="69" spans="1:16" ht="31.5" customHeight="1" x14ac:dyDescent="0.4">
      <c r="A69" s="3">
        <v>69</v>
      </c>
      <c r="B69" s="1" t="s">
        <v>3</v>
      </c>
      <c r="C69" s="4" t="s">
        <v>128</v>
      </c>
      <c r="D69" s="4" t="s">
        <v>77</v>
      </c>
      <c r="E69" s="1">
        <v>20</v>
      </c>
      <c r="F69" s="7" t="s">
        <v>130</v>
      </c>
      <c r="G69" s="5" t="s">
        <v>19</v>
      </c>
      <c r="H69" s="4"/>
      <c r="I69" s="1"/>
      <c r="J69" s="37">
        <v>0.91666666666666663</v>
      </c>
      <c r="K69" s="37">
        <v>0.93055555555555558</v>
      </c>
      <c r="L69" s="40"/>
      <c r="M69" s="30" t="s">
        <v>221</v>
      </c>
      <c r="N69" s="32">
        <v>1</v>
      </c>
      <c r="O69" s="35" t="s">
        <v>217</v>
      </c>
      <c r="P69" s="44" t="s">
        <v>332</v>
      </c>
    </row>
    <row r="70" spans="1:16" ht="31.5" customHeight="1" x14ac:dyDescent="0.4">
      <c r="A70" s="3">
        <v>70</v>
      </c>
      <c r="B70" s="1" t="s">
        <v>3</v>
      </c>
      <c r="C70" s="4" t="s">
        <v>129</v>
      </c>
      <c r="D70" s="4" t="s">
        <v>77</v>
      </c>
      <c r="E70" s="1">
        <v>15</v>
      </c>
      <c r="F70" s="7" t="s">
        <v>46</v>
      </c>
      <c r="G70" s="5" t="s">
        <v>19</v>
      </c>
      <c r="H70" s="4"/>
      <c r="I70" s="1"/>
      <c r="J70" s="37">
        <v>0.90625</v>
      </c>
      <c r="K70" s="37">
        <v>0.91666666666666663</v>
      </c>
      <c r="L70" s="40"/>
      <c r="M70" s="30" t="s">
        <v>221</v>
      </c>
      <c r="N70" s="32">
        <v>1</v>
      </c>
      <c r="O70" s="35" t="s">
        <v>214</v>
      </c>
      <c r="P70" s="44"/>
    </row>
    <row r="71" spans="1:16" ht="31.5" customHeight="1" x14ac:dyDescent="0.4">
      <c r="A71" s="3">
        <v>71</v>
      </c>
      <c r="B71" s="1" t="s">
        <v>3</v>
      </c>
      <c r="C71" s="4" t="s">
        <v>131</v>
      </c>
      <c r="D71" s="4" t="s">
        <v>77</v>
      </c>
      <c r="E71" s="1" t="s">
        <v>31</v>
      </c>
      <c r="F71" s="7" t="s">
        <v>46</v>
      </c>
      <c r="G71" s="5" t="s">
        <v>19</v>
      </c>
      <c r="H71" s="4"/>
      <c r="I71" s="1"/>
      <c r="J71" s="37">
        <v>0.54166666666666663</v>
      </c>
      <c r="K71" s="37">
        <v>0.60416666666666663</v>
      </c>
      <c r="L71" s="40"/>
      <c r="M71" s="30" t="s">
        <v>221</v>
      </c>
      <c r="N71" s="32">
        <v>1</v>
      </c>
      <c r="O71" s="35" t="s">
        <v>214</v>
      </c>
      <c r="P71" s="44"/>
    </row>
    <row r="72" spans="1:16" ht="31.5" customHeight="1" x14ac:dyDescent="0.4">
      <c r="A72" s="3">
        <v>72</v>
      </c>
      <c r="B72" s="1" t="s">
        <v>7</v>
      </c>
      <c r="C72" s="4" t="s">
        <v>132</v>
      </c>
      <c r="D72" s="4" t="s">
        <v>77</v>
      </c>
      <c r="E72" s="1">
        <v>25</v>
      </c>
      <c r="F72" s="7" t="s">
        <v>47</v>
      </c>
      <c r="G72" s="5" t="s">
        <v>19</v>
      </c>
      <c r="H72" s="4"/>
      <c r="I72" s="1"/>
      <c r="J72" s="38" t="s">
        <v>279</v>
      </c>
      <c r="K72" s="38" t="s">
        <v>280</v>
      </c>
      <c r="L72" s="40" t="s">
        <v>281</v>
      </c>
      <c r="M72" s="30" t="s">
        <v>221</v>
      </c>
      <c r="N72" s="32">
        <v>1</v>
      </c>
      <c r="O72" s="35" t="s">
        <v>214</v>
      </c>
      <c r="P72" s="44" t="s">
        <v>282</v>
      </c>
    </row>
    <row r="73" spans="1:16" ht="48" x14ac:dyDescent="0.4">
      <c r="A73" s="3">
        <v>73</v>
      </c>
      <c r="B73" s="1" t="s">
        <v>7</v>
      </c>
      <c r="C73" s="4" t="s">
        <v>133</v>
      </c>
      <c r="D73" s="4" t="s">
        <v>77</v>
      </c>
      <c r="E73" s="1">
        <v>10</v>
      </c>
      <c r="F73" s="7" t="s">
        <v>48</v>
      </c>
      <c r="G73" s="5" t="s">
        <v>19</v>
      </c>
      <c r="H73" s="4"/>
      <c r="I73" s="1"/>
      <c r="J73" s="38" t="s">
        <v>266</v>
      </c>
      <c r="K73" s="38" t="s">
        <v>267</v>
      </c>
      <c r="L73" s="40"/>
      <c r="M73" s="30" t="s">
        <v>221</v>
      </c>
      <c r="N73" s="32">
        <v>1</v>
      </c>
      <c r="O73" s="35" t="s">
        <v>214</v>
      </c>
      <c r="P73" s="44" t="s">
        <v>277</v>
      </c>
    </row>
    <row r="74" spans="1:16" ht="32" x14ac:dyDescent="0.4">
      <c r="A74" s="3">
        <v>74</v>
      </c>
      <c r="B74" s="1" t="s">
        <v>7</v>
      </c>
      <c r="C74" s="4" t="s">
        <v>134</v>
      </c>
      <c r="D74" s="4" t="s">
        <v>77</v>
      </c>
      <c r="E74" s="1">
        <v>15</v>
      </c>
      <c r="F74" s="7" t="s">
        <v>47</v>
      </c>
      <c r="G74" s="5" t="s">
        <v>19</v>
      </c>
      <c r="H74" s="4"/>
      <c r="I74" s="1"/>
      <c r="J74" s="38" t="s">
        <v>268</v>
      </c>
      <c r="K74" s="38" t="s">
        <v>269</v>
      </c>
      <c r="L74" s="40"/>
      <c r="M74" s="30" t="s">
        <v>221</v>
      </c>
      <c r="N74" s="32">
        <v>1</v>
      </c>
      <c r="O74" s="35" t="s">
        <v>216</v>
      </c>
      <c r="P74" s="44" t="s">
        <v>278</v>
      </c>
    </row>
    <row r="75" spans="1:16" ht="48" x14ac:dyDescent="0.4">
      <c r="A75" s="3">
        <v>75</v>
      </c>
      <c r="B75" s="1" t="s">
        <v>7</v>
      </c>
      <c r="C75" s="4" t="s">
        <v>135</v>
      </c>
      <c r="D75" s="4" t="s">
        <v>77</v>
      </c>
      <c r="E75" s="1">
        <v>10</v>
      </c>
      <c r="F75" s="7" t="s">
        <v>47</v>
      </c>
      <c r="G75" s="5" t="s">
        <v>19</v>
      </c>
      <c r="H75" s="4"/>
      <c r="I75" s="1"/>
      <c r="J75" s="38" t="s">
        <v>274</v>
      </c>
      <c r="K75" s="38" t="s">
        <v>275</v>
      </c>
      <c r="L75" s="40"/>
      <c r="M75" s="30" t="s">
        <v>218</v>
      </c>
      <c r="N75" s="32">
        <v>1</v>
      </c>
      <c r="O75" s="35" t="s">
        <v>216</v>
      </c>
      <c r="P75" s="44" t="s">
        <v>276</v>
      </c>
    </row>
    <row r="76" spans="1:16" ht="31.5" customHeight="1" x14ac:dyDescent="0.4">
      <c r="A76" s="3">
        <v>76</v>
      </c>
      <c r="B76" s="1" t="s">
        <v>7</v>
      </c>
      <c r="C76" s="4" t="s">
        <v>136</v>
      </c>
      <c r="D76" s="4" t="s">
        <v>77</v>
      </c>
      <c r="E76" s="1">
        <v>15</v>
      </c>
      <c r="F76" s="7" t="s">
        <v>46</v>
      </c>
      <c r="G76" s="5" t="s">
        <v>19</v>
      </c>
      <c r="H76" s="4"/>
      <c r="I76" s="1"/>
      <c r="J76" s="37">
        <v>0.45833333333333331</v>
      </c>
      <c r="K76" s="37">
        <v>0.46875</v>
      </c>
      <c r="L76" s="40"/>
      <c r="M76" s="30" t="s">
        <v>218</v>
      </c>
      <c r="N76" s="32"/>
      <c r="O76" s="35"/>
      <c r="P76" s="44" t="s">
        <v>283</v>
      </c>
    </row>
    <row r="77" spans="1:16" ht="31.5" customHeight="1" x14ac:dyDescent="0.4">
      <c r="A77" s="3">
        <v>77</v>
      </c>
      <c r="B77" s="1" t="s">
        <v>7</v>
      </c>
      <c r="C77" s="4" t="s">
        <v>137</v>
      </c>
      <c r="D77" s="4" t="s">
        <v>77</v>
      </c>
      <c r="E77" s="1">
        <v>10</v>
      </c>
      <c r="F77" s="7" t="s">
        <v>61</v>
      </c>
      <c r="G77" s="5" t="s">
        <v>19</v>
      </c>
      <c r="H77" s="4"/>
      <c r="I77" s="1"/>
      <c r="J77" s="37">
        <v>0.4236111111111111</v>
      </c>
      <c r="K77" s="37">
        <v>0.43055555555555558</v>
      </c>
      <c r="L77" s="40"/>
      <c r="M77" s="30" t="s">
        <v>218</v>
      </c>
      <c r="N77" s="32">
        <v>1</v>
      </c>
      <c r="O77" s="35" t="s">
        <v>217</v>
      </c>
      <c r="P77" s="44"/>
    </row>
    <row r="78" spans="1:16" ht="31.5" customHeight="1" x14ac:dyDescent="0.4">
      <c r="A78" s="3">
        <v>78</v>
      </c>
      <c r="B78" s="1" t="s">
        <v>7</v>
      </c>
      <c r="C78" s="4" t="s">
        <v>138</v>
      </c>
      <c r="D78" s="2" t="s">
        <v>179</v>
      </c>
      <c r="E78" s="1">
        <v>120</v>
      </c>
      <c r="F78" s="7" t="s">
        <v>54</v>
      </c>
      <c r="G78" s="5" t="s">
        <v>19</v>
      </c>
      <c r="H78" s="4"/>
      <c r="I78" s="1"/>
      <c r="J78" s="37">
        <v>0.625</v>
      </c>
      <c r="K78" s="37">
        <v>0.70833333333333337</v>
      </c>
      <c r="L78" s="40" t="s">
        <v>270</v>
      </c>
      <c r="M78" s="30" t="s">
        <v>219</v>
      </c>
      <c r="N78" s="32">
        <v>2</v>
      </c>
      <c r="O78" s="35" t="s">
        <v>214</v>
      </c>
      <c r="P78" s="44" t="s">
        <v>271</v>
      </c>
    </row>
    <row r="79" spans="1:16" ht="31.5" customHeight="1" x14ac:dyDescent="0.4">
      <c r="A79" s="3">
        <v>79</v>
      </c>
      <c r="B79" s="1" t="s">
        <v>7</v>
      </c>
      <c r="C79" s="4" t="s">
        <v>139</v>
      </c>
      <c r="D79" s="4" t="s">
        <v>180</v>
      </c>
      <c r="E79" s="1">
        <v>5</v>
      </c>
      <c r="F79" s="6" t="s">
        <v>59</v>
      </c>
      <c r="G79" s="5" t="s">
        <v>19</v>
      </c>
      <c r="H79" s="4"/>
      <c r="I79" s="1"/>
      <c r="J79" s="37">
        <v>0.41666666666666669</v>
      </c>
      <c r="K79" s="37">
        <v>0.4201388888888889</v>
      </c>
      <c r="L79" s="40" t="s">
        <v>272</v>
      </c>
      <c r="M79" s="30" t="s">
        <v>218</v>
      </c>
      <c r="N79" s="32">
        <v>1</v>
      </c>
      <c r="O79" s="35" t="s">
        <v>217</v>
      </c>
      <c r="P79" s="44" t="s">
        <v>273</v>
      </c>
    </row>
    <row r="80" spans="1:16" ht="48" x14ac:dyDescent="0.4">
      <c r="A80" s="3">
        <v>80</v>
      </c>
      <c r="B80" s="1" t="s">
        <v>8</v>
      </c>
      <c r="C80" s="4" t="s">
        <v>140</v>
      </c>
      <c r="D80" s="4" t="s">
        <v>77</v>
      </c>
      <c r="E80" s="1" t="s">
        <v>33</v>
      </c>
      <c r="F80" s="1" t="s">
        <v>62</v>
      </c>
      <c r="G80" s="5" t="s">
        <v>28</v>
      </c>
      <c r="H80" s="4" t="s">
        <v>32</v>
      </c>
      <c r="I80" s="35" t="s">
        <v>63</v>
      </c>
      <c r="K80" s="32"/>
      <c r="L80" s="40" t="s">
        <v>252</v>
      </c>
      <c r="M80" s="30" t="s">
        <v>66</v>
      </c>
      <c r="N80" s="32">
        <v>1</v>
      </c>
      <c r="O80" s="35" t="s">
        <v>213</v>
      </c>
      <c r="P80" s="40" t="s">
        <v>251</v>
      </c>
    </row>
    <row r="81" spans="1:16" ht="31.5" customHeight="1" x14ac:dyDescent="0.4">
      <c r="A81" s="3">
        <v>81</v>
      </c>
      <c r="B81" s="1" t="s">
        <v>8</v>
      </c>
      <c r="C81" s="4" t="s">
        <v>141</v>
      </c>
      <c r="D81" s="4" t="s">
        <v>77</v>
      </c>
      <c r="E81" s="1">
        <v>15</v>
      </c>
      <c r="F81" s="7" t="s">
        <v>46</v>
      </c>
      <c r="G81" s="5" t="s">
        <v>19</v>
      </c>
      <c r="H81" s="4"/>
      <c r="I81" s="1"/>
      <c r="J81" s="37">
        <v>0.25</v>
      </c>
      <c r="K81" s="37">
        <v>0.26041666666666669</v>
      </c>
      <c r="L81" s="40"/>
      <c r="M81" s="30" t="s">
        <v>66</v>
      </c>
      <c r="N81" s="32">
        <v>1</v>
      </c>
      <c r="O81" s="35" t="s">
        <v>214</v>
      </c>
      <c r="P81" s="40" t="s">
        <v>253</v>
      </c>
    </row>
    <row r="82" spans="1:16" ht="31.5" customHeight="1" x14ac:dyDescent="0.4">
      <c r="A82" s="3">
        <v>82</v>
      </c>
      <c r="B82" s="1" t="s">
        <v>8</v>
      </c>
      <c r="C82" s="4" t="s">
        <v>171</v>
      </c>
      <c r="D82" s="4" t="s">
        <v>77</v>
      </c>
      <c r="E82" s="1">
        <v>20</v>
      </c>
      <c r="F82" s="7" t="s">
        <v>46</v>
      </c>
      <c r="G82" s="5" t="s">
        <v>19</v>
      </c>
      <c r="H82" s="4"/>
      <c r="I82" s="1"/>
      <c r="J82" s="37">
        <v>0.64583333333333337</v>
      </c>
      <c r="K82" s="37">
        <v>0.65277777777777779</v>
      </c>
      <c r="L82" s="40" t="s">
        <v>254</v>
      </c>
      <c r="M82" s="30" t="s">
        <v>66</v>
      </c>
      <c r="N82" s="32">
        <v>1</v>
      </c>
      <c r="O82" s="35" t="s">
        <v>214</v>
      </c>
      <c r="P82" s="40" t="s">
        <v>255</v>
      </c>
    </row>
    <row r="83" spans="1:16" ht="31.5" customHeight="1" x14ac:dyDescent="0.4">
      <c r="A83" s="3">
        <v>83</v>
      </c>
      <c r="B83" s="1" t="s">
        <v>8</v>
      </c>
      <c r="C83" s="4" t="s">
        <v>142</v>
      </c>
      <c r="D83" s="4" t="s">
        <v>77</v>
      </c>
      <c r="E83" s="1">
        <v>15</v>
      </c>
      <c r="F83" s="7" t="s">
        <v>47</v>
      </c>
      <c r="G83" s="5" t="s">
        <v>19</v>
      </c>
      <c r="H83" s="4"/>
      <c r="I83" s="1"/>
      <c r="J83" s="38" t="s">
        <v>256</v>
      </c>
      <c r="K83" s="38" t="s">
        <v>257</v>
      </c>
      <c r="L83" s="40"/>
      <c r="M83" s="30" t="s">
        <v>66</v>
      </c>
      <c r="N83" s="32">
        <v>1</v>
      </c>
      <c r="O83" s="35" t="s">
        <v>217</v>
      </c>
      <c r="P83" s="40" t="s">
        <v>258</v>
      </c>
    </row>
    <row r="84" spans="1:16" ht="46.5" x14ac:dyDescent="0.4">
      <c r="A84" s="3">
        <v>84</v>
      </c>
      <c r="B84" s="1" t="s">
        <v>9</v>
      </c>
      <c r="C84" s="4" t="s">
        <v>143</v>
      </c>
      <c r="D84" s="4" t="s">
        <v>77</v>
      </c>
      <c r="E84" s="4" t="s">
        <v>400</v>
      </c>
      <c r="F84" s="4"/>
      <c r="G84" s="5" t="s">
        <v>17</v>
      </c>
      <c r="H84" s="4" t="s">
        <v>34</v>
      </c>
      <c r="I84" s="1"/>
      <c r="J84" s="37">
        <v>0.25</v>
      </c>
      <c r="K84" s="37">
        <v>0.45833333333333331</v>
      </c>
      <c r="L84" s="40" t="s">
        <v>397</v>
      </c>
      <c r="M84" s="30" t="s">
        <v>315</v>
      </c>
      <c r="N84" s="32">
        <v>3</v>
      </c>
      <c r="O84" s="35" t="s">
        <v>216</v>
      </c>
      <c r="P84" s="44"/>
    </row>
    <row r="85" spans="1:16" ht="48" x14ac:dyDescent="0.4">
      <c r="A85" s="3">
        <v>85</v>
      </c>
      <c r="B85" s="1" t="s">
        <v>9</v>
      </c>
      <c r="C85" s="4" t="s">
        <v>166</v>
      </c>
      <c r="D85" s="4" t="s">
        <v>77</v>
      </c>
      <c r="E85" s="1">
        <v>25</v>
      </c>
      <c r="F85" s="7" t="s">
        <v>48</v>
      </c>
      <c r="G85" s="5" t="s">
        <v>19</v>
      </c>
      <c r="H85" s="4"/>
      <c r="I85" s="1"/>
      <c r="J85" s="38" t="s">
        <v>294</v>
      </c>
      <c r="K85" s="38" t="s">
        <v>395</v>
      </c>
      <c r="L85" s="40"/>
      <c r="M85" s="30" t="s">
        <v>221</v>
      </c>
      <c r="N85" s="32">
        <v>1</v>
      </c>
      <c r="O85" s="35" t="s">
        <v>214</v>
      </c>
      <c r="P85" s="44"/>
    </row>
    <row r="86" spans="1:16" ht="48" x14ac:dyDescent="0.4">
      <c r="A86" s="3">
        <v>86</v>
      </c>
      <c r="B86" s="1" t="s">
        <v>9</v>
      </c>
      <c r="C86" s="4" t="s">
        <v>167</v>
      </c>
      <c r="D86" s="4" t="s">
        <v>77</v>
      </c>
      <c r="E86" s="1">
        <v>30</v>
      </c>
      <c r="F86" s="7" t="s">
        <v>48</v>
      </c>
      <c r="G86" s="5" t="s">
        <v>19</v>
      </c>
      <c r="H86" s="4"/>
      <c r="I86" s="1"/>
      <c r="J86" s="38" t="s">
        <v>294</v>
      </c>
      <c r="K86" s="38" t="s">
        <v>396</v>
      </c>
      <c r="L86" s="40"/>
      <c r="M86" s="30" t="s">
        <v>315</v>
      </c>
      <c r="N86" s="32">
        <v>3</v>
      </c>
      <c r="O86" s="35" t="s">
        <v>214</v>
      </c>
      <c r="P86" s="44"/>
    </row>
    <row r="87" spans="1:16" ht="31.5" customHeight="1" x14ac:dyDescent="0.4">
      <c r="A87" s="3">
        <v>87</v>
      </c>
      <c r="B87" s="1" t="s">
        <v>9</v>
      </c>
      <c r="C87" s="4" t="s">
        <v>168</v>
      </c>
      <c r="D87" s="4" t="s">
        <v>77</v>
      </c>
      <c r="E87" s="1" t="s">
        <v>35</v>
      </c>
      <c r="F87" s="7" t="s">
        <v>46</v>
      </c>
      <c r="G87" s="5" t="s">
        <v>19</v>
      </c>
      <c r="H87" s="4"/>
      <c r="I87" s="1"/>
      <c r="J87" s="37">
        <v>0.64583333333333337</v>
      </c>
      <c r="K87" s="37">
        <v>0.66666666666666663</v>
      </c>
      <c r="L87" s="40"/>
      <c r="M87" s="30" t="s">
        <v>221</v>
      </c>
      <c r="N87" s="32">
        <v>1</v>
      </c>
      <c r="O87" s="35" t="s">
        <v>216</v>
      </c>
      <c r="P87" s="44"/>
    </row>
    <row r="88" spans="1:16" ht="31.5" customHeight="1" x14ac:dyDescent="0.4">
      <c r="A88" s="3">
        <v>88</v>
      </c>
      <c r="B88" s="1" t="s">
        <v>9</v>
      </c>
      <c r="C88" s="4" t="s">
        <v>169</v>
      </c>
      <c r="D88" s="4" t="s">
        <v>77</v>
      </c>
      <c r="E88" s="1" t="s">
        <v>36</v>
      </c>
      <c r="F88" s="7" t="s">
        <v>46</v>
      </c>
      <c r="G88" s="5" t="s">
        <v>19</v>
      </c>
      <c r="H88" s="4"/>
      <c r="I88" s="1"/>
      <c r="J88" s="37">
        <v>0.41666666666666669</v>
      </c>
      <c r="K88" s="37">
        <v>0.4375</v>
      </c>
      <c r="L88" s="40"/>
      <c r="M88" s="30" t="s">
        <v>66</v>
      </c>
      <c r="N88" s="32">
        <v>1</v>
      </c>
      <c r="O88" s="35" t="s">
        <v>217</v>
      </c>
      <c r="P88" s="44"/>
    </row>
    <row r="89" spans="1:16" ht="31.5" customHeight="1" x14ac:dyDescent="0.4">
      <c r="A89" s="3">
        <v>89</v>
      </c>
      <c r="B89" s="1" t="s">
        <v>9</v>
      </c>
      <c r="C89" s="4" t="s">
        <v>165</v>
      </c>
      <c r="D89" s="4" t="s">
        <v>77</v>
      </c>
      <c r="E89" s="1">
        <v>15</v>
      </c>
      <c r="F89" s="7" t="s">
        <v>47</v>
      </c>
      <c r="G89" s="5" t="s">
        <v>19</v>
      </c>
      <c r="H89" s="4"/>
      <c r="I89" s="1"/>
      <c r="J89" s="38" t="s">
        <v>393</v>
      </c>
      <c r="K89" s="38" t="s">
        <v>394</v>
      </c>
      <c r="L89" s="40"/>
      <c r="M89" s="30" t="s">
        <v>221</v>
      </c>
      <c r="N89" s="32">
        <v>1</v>
      </c>
      <c r="O89" s="35" t="s">
        <v>214</v>
      </c>
      <c r="P89" s="44"/>
    </row>
    <row r="90" spans="1:16" ht="31.5" customHeight="1" x14ac:dyDescent="0.4">
      <c r="A90" s="3">
        <v>90</v>
      </c>
      <c r="B90" s="1" t="s">
        <v>9</v>
      </c>
      <c r="C90" s="4" t="s">
        <v>164</v>
      </c>
      <c r="D90" s="4" t="s">
        <v>77</v>
      </c>
      <c r="E90" s="1">
        <v>30</v>
      </c>
      <c r="F90" s="7" t="s">
        <v>46</v>
      </c>
      <c r="G90" s="5" t="s">
        <v>19</v>
      </c>
      <c r="H90" s="4"/>
      <c r="I90" s="1"/>
      <c r="J90" s="37">
        <v>0.89583333333333337</v>
      </c>
      <c r="K90" s="37">
        <v>0.91666666666666663</v>
      </c>
      <c r="L90" s="40"/>
      <c r="M90" s="30" t="s">
        <v>221</v>
      </c>
      <c r="N90" s="32">
        <v>1</v>
      </c>
      <c r="O90" s="35" t="s">
        <v>214</v>
      </c>
      <c r="P90" s="44"/>
    </row>
    <row r="91" spans="1:16" ht="31.5" customHeight="1" x14ac:dyDescent="0.4">
      <c r="A91" s="3">
        <v>91</v>
      </c>
      <c r="B91" s="1" t="s">
        <v>9</v>
      </c>
      <c r="C91" s="4" t="s">
        <v>163</v>
      </c>
      <c r="D91" s="4" t="s">
        <v>77</v>
      </c>
      <c r="E91" s="1" t="s">
        <v>37</v>
      </c>
      <c r="F91" s="7" t="s">
        <v>46</v>
      </c>
      <c r="G91" s="5" t="s">
        <v>19</v>
      </c>
      <c r="H91" s="4"/>
      <c r="I91" s="1"/>
      <c r="J91" s="37">
        <v>0.45833333333333331</v>
      </c>
      <c r="K91" s="37">
        <v>0.5</v>
      </c>
      <c r="L91" s="40"/>
      <c r="M91" s="30" t="s">
        <v>218</v>
      </c>
      <c r="N91" s="32">
        <v>1</v>
      </c>
      <c r="O91" s="35" t="s">
        <v>214</v>
      </c>
      <c r="P91" s="44"/>
    </row>
    <row r="92" spans="1:16" ht="31.5" customHeight="1" x14ac:dyDescent="0.4">
      <c r="A92" s="3">
        <v>92</v>
      </c>
      <c r="B92" s="1" t="s">
        <v>9</v>
      </c>
      <c r="C92" s="4" t="s">
        <v>162</v>
      </c>
      <c r="D92" s="4" t="s">
        <v>77</v>
      </c>
      <c r="E92" s="1">
        <v>15</v>
      </c>
      <c r="F92" s="7" t="s">
        <v>46</v>
      </c>
      <c r="G92" s="5" t="s">
        <v>19</v>
      </c>
      <c r="H92" s="4"/>
      <c r="I92" s="1"/>
      <c r="J92" s="37">
        <v>0.60416666666666663</v>
      </c>
      <c r="K92" s="37">
        <v>0.61458333333333337</v>
      </c>
      <c r="L92" s="40"/>
      <c r="M92" s="30" t="s">
        <v>0</v>
      </c>
      <c r="N92" s="32">
        <v>1</v>
      </c>
      <c r="O92" s="35" t="s">
        <v>217</v>
      </c>
      <c r="P92" s="44"/>
    </row>
    <row r="93" spans="1:16" ht="31.5" customHeight="1" x14ac:dyDescent="0.4">
      <c r="A93" s="3">
        <v>93</v>
      </c>
      <c r="B93" s="1" t="s">
        <v>9</v>
      </c>
      <c r="C93" s="4" t="s">
        <v>161</v>
      </c>
      <c r="D93" s="4" t="s">
        <v>77</v>
      </c>
      <c r="E93" s="1">
        <v>10</v>
      </c>
      <c r="F93" s="7" t="s">
        <v>46</v>
      </c>
      <c r="G93" s="5" t="s">
        <v>19</v>
      </c>
      <c r="H93" s="4"/>
      <c r="I93" s="1"/>
      <c r="J93" s="37">
        <v>0.83333333333333337</v>
      </c>
      <c r="K93" s="37">
        <v>0.84375</v>
      </c>
      <c r="L93" s="40"/>
      <c r="M93" s="30" t="s">
        <v>221</v>
      </c>
      <c r="N93" s="32">
        <v>1</v>
      </c>
      <c r="O93" s="35" t="s">
        <v>214</v>
      </c>
      <c r="P93" s="44"/>
    </row>
    <row r="94" spans="1:16" ht="46.5" x14ac:dyDescent="0.4">
      <c r="A94" s="3">
        <v>94</v>
      </c>
      <c r="B94" s="1" t="s">
        <v>9</v>
      </c>
      <c r="C94" s="4" t="s">
        <v>160</v>
      </c>
      <c r="D94" s="4" t="s">
        <v>77</v>
      </c>
      <c r="E94" s="4" t="s">
        <v>399</v>
      </c>
      <c r="F94" s="6" t="s">
        <v>22</v>
      </c>
      <c r="G94" s="5" t="s">
        <v>17</v>
      </c>
      <c r="H94" s="4" t="s">
        <v>34</v>
      </c>
      <c r="I94" s="1"/>
      <c r="J94" s="37">
        <v>0.25</v>
      </c>
      <c r="K94" s="37">
        <v>0.45833333333333331</v>
      </c>
      <c r="L94" s="40" t="s">
        <v>397</v>
      </c>
      <c r="M94" s="30" t="s">
        <v>315</v>
      </c>
      <c r="N94" s="32">
        <v>3</v>
      </c>
      <c r="O94" s="35" t="s">
        <v>216</v>
      </c>
      <c r="P94" s="44"/>
    </row>
    <row r="95" spans="1:16" ht="32" x14ac:dyDescent="0.4">
      <c r="A95" s="3">
        <v>95</v>
      </c>
      <c r="B95" s="1" t="s">
        <v>9</v>
      </c>
      <c r="C95" s="4" t="s">
        <v>159</v>
      </c>
      <c r="D95" s="4" t="s">
        <v>77</v>
      </c>
      <c r="E95" s="4" t="s">
        <v>398</v>
      </c>
      <c r="F95" s="6" t="s">
        <v>22</v>
      </c>
      <c r="G95" s="5" t="s">
        <v>17</v>
      </c>
      <c r="H95" s="4" t="s">
        <v>34</v>
      </c>
      <c r="I95" s="1"/>
      <c r="J95" s="37">
        <v>0.25</v>
      </c>
      <c r="K95" s="37">
        <v>0.45833333333333331</v>
      </c>
      <c r="L95" s="40" t="s">
        <v>397</v>
      </c>
      <c r="M95" s="30" t="s">
        <v>315</v>
      </c>
      <c r="N95" s="32">
        <v>3</v>
      </c>
      <c r="O95" s="35" t="s">
        <v>213</v>
      </c>
      <c r="P95" s="44"/>
    </row>
    <row r="96" spans="1:16" ht="31.5" customHeight="1" x14ac:dyDescent="0.4">
      <c r="A96" s="3">
        <v>96</v>
      </c>
      <c r="B96" s="1" t="s">
        <v>10</v>
      </c>
      <c r="C96" s="4" t="s">
        <v>158</v>
      </c>
      <c r="D96" s="4" t="s">
        <v>77</v>
      </c>
      <c r="E96" s="1" t="s">
        <v>39</v>
      </c>
      <c r="F96" s="7" t="s">
        <v>46</v>
      </c>
      <c r="G96" s="5" t="s">
        <v>17</v>
      </c>
      <c r="H96" s="4" t="s">
        <v>38</v>
      </c>
      <c r="I96" s="1"/>
      <c r="J96" s="37">
        <v>0.58333333333333337</v>
      </c>
      <c r="K96" s="37">
        <v>0.70833333333333337</v>
      </c>
      <c r="L96" s="38"/>
      <c r="M96" s="30" t="s">
        <v>221</v>
      </c>
      <c r="N96" s="32">
        <v>3</v>
      </c>
      <c r="O96" s="35" t="s">
        <v>216</v>
      </c>
      <c r="P96" s="40"/>
    </row>
    <row r="97" spans="1:16" ht="31.5" customHeight="1" x14ac:dyDescent="0.4">
      <c r="A97" s="3">
        <v>97</v>
      </c>
      <c r="B97" s="1" t="s">
        <v>10</v>
      </c>
      <c r="C97" s="4" t="s">
        <v>157</v>
      </c>
      <c r="D97" s="4" t="s">
        <v>77</v>
      </c>
      <c r="E97" s="1">
        <v>30</v>
      </c>
      <c r="F97" s="7" t="s">
        <v>47</v>
      </c>
      <c r="G97" s="5" t="s">
        <v>19</v>
      </c>
      <c r="H97" s="4"/>
      <c r="I97" s="1"/>
      <c r="J97" s="38" t="s">
        <v>285</v>
      </c>
      <c r="K97" s="38" t="s">
        <v>286</v>
      </c>
      <c r="L97" s="39">
        <v>0.85416666666666663</v>
      </c>
      <c r="M97" s="30" t="s">
        <v>221</v>
      </c>
      <c r="N97" s="32">
        <v>2</v>
      </c>
      <c r="O97" s="35" t="s">
        <v>216</v>
      </c>
      <c r="P97" s="40"/>
    </row>
    <row r="98" spans="1:16" ht="31.5" customHeight="1" x14ac:dyDescent="0.4">
      <c r="A98" s="3">
        <v>98</v>
      </c>
      <c r="B98" s="1" t="s">
        <v>10</v>
      </c>
      <c r="C98" s="4" t="s">
        <v>156</v>
      </c>
      <c r="D98" s="4" t="s">
        <v>77</v>
      </c>
      <c r="E98" s="1">
        <v>75</v>
      </c>
      <c r="F98" s="22" t="s">
        <v>54</v>
      </c>
      <c r="G98" s="5" t="s">
        <v>19</v>
      </c>
      <c r="H98" s="4"/>
      <c r="I98" s="1"/>
      <c r="J98" s="37">
        <v>0.625</v>
      </c>
      <c r="K98" s="37">
        <v>0.67708333333333337</v>
      </c>
      <c r="L98" s="38"/>
      <c r="M98" s="30" t="s">
        <v>221</v>
      </c>
      <c r="N98" s="32">
        <v>1</v>
      </c>
      <c r="O98" s="35" t="s">
        <v>216</v>
      </c>
      <c r="P98" s="40" t="s">
        <v>296</v>
      </c>
    </row>
    <row r="99" spans="1:16" ht="31.5" customHeight="1" x14ac:dyDescent="0.4">
      <c r="A99" s="3">
        <v>99</v>
      </c>
      <c r="B99" s="1" t="s">
        <v>10</v>
      </c>
      <c r="C99" s="4" t="s">
        <v>175</v>
      </c>
      <c r="D99" s="4" t="s">
        <v>77</v>
      </c>
      <c r="E99" s="1">
        <v>30</v>
      </c>
      <c r="F99" s="7" t="s">
        <v>46</v>
      </c>
      <c r="G99" s="5" t="s">
        <v>19</v>
      </c>
      <c r="H99" s="4"/>
      <c r="I99" s="1"/>
      <c r="J99" s="37">
        <v>0.41666666666666669</v>
      </c>
      <c r="K99" s="37">
        <v>0.4375</v>
      </c>
      <c r="L99" s="38"/>
      <c r="M99" s="30" t="s">
        <v>221</v>
      </c>
      <c r="N99" s="32">
        <v>1</v>
      </c>
      <c r="O99" s="35" t="s">
        <v>214</v>
      </c>
      <c r="P99" s="40" t="s">
        <v>284</v>
      </c>
    </row>
    <row r="100" spans="1:16" ht="48" x14ac:dyDescent="0.4">
      <c r="A100" s="3">
        <v>100</v>
      </c>
      <c r="B100" s="1" t="s">
        <v>10</v>
      </c>
      <c r="C100" s="4" t="s">
        <v>155</v>
      </c>
      <c r="D100" s="4" t="s">
        <v>77</v>
      </c>
      <c r="E100" s="1">
        <v>5</v>
      </c>
      <c r="F100" s="7" t="s">
        <v>48</v>
      </c>
      <c r="G100" s="5" t="s">
        <v>19</v>
      </c>
      <c r="H100" s="4"/>
      <c r="I100" s="1"/>
      <c r="J100" s="38" t="s">
        <v>294</v>
      </c>
      <c r="K100" s="38" t="s">
        <v>295</v>
      </c>
      <c r="L100" s="38"/>
      <c r="M100" s="30" t="s">
        <v>66</v>
      </c>
      <c r="N100" s="32">
        <v>1</v>
      </c>
      <c r="O100" s="35" t="s">
        <v>214</v>
      </c>
      <c r="P100" s="40" t="s">
        <v>302</v>
      </c>
    </row>
    <row r="101" spans="1:16" ht="31.5" customHeight="1" x14ac:dyDescent="0.4">
      <c r="A101" s="3">
        <v>101</v>
      </c>
      <c r="B101" s="50" t="s">
        <v>10</v>
      </c>
      <c r="C101" s="52" t="s">
        <v>154</v>
      </c>
      <c r="D101" s="24" t="s">
        <v>178</v>
      </c>
      <c r="E101" s="4" t="s">
        <v>297</v>
      </c>
      <c r="F101" s="54" t="s">
        <v>58</v>
      </c>
      <c r="G101" s="5" t="s">
        <v>19</v>
      </c>
      <c r="H101" s="4"/>
      <c r="I101" s="1"/>
      <c r="J101" s="37">
        <v>0.625</v>
      </c>
      <c r="K101" s="37">
        <v>0.66666666666666663</v>
      </c>
      <c r="L101" s="56" t="s">
        <v>299</v>
      </c>
      <c r="M101" s="30" t="s">
        <v>218</v>
      </c>
      <c r="N101" s="32">
        <v>1</v>
      </c>
      <c r="O101" s="35" t="s">
        <v>214</v>
      </c>
      <c r="P101" s="40" t="s">
        <v>300</v>
      </c>
    </row>
    <row r="102" spans="1:16" ht="31.5" customHeight="1" x14ac:dyDescent="0.4">
      <c r="A102" s="3"/>
      <c r="B102" s="51"/>
      <c r="C102" s="53"/>
      <c r="D102" s="24"/>
      <c r="E102" s="4" t="s">
        <v>298</v>
      </c>
      <c r="F102" s="55"/>
      <c r="G102" s="5" t="s">
        <v>19</v>
      </c>
      <c r="H102" s="4"/>
      <c r="I102" s="1"/>
      <c r="J102" s="37">
        <v>0.625</v>
      </c>
      <c r="K102" s="37">
        <v>0.66666666666666663</v>
      </c>
      <c r="L102" s="57"/>
      <c r="M102" s="30" t="s">
        <v>221</v>
      </c>
      <c r="N102" s="32">
        <v>2</v>
      </c>
      <c r="O102" s="35" t="s">
        <v>214</v>
      </c>
      <c r="P102" s="40" t="s">
        <v>301</v>
      </c>
    </row>
    <row r="103" spans="1:16" ht="31.5" customHeight="1" x14ac:dyDescent="0.4">
      <c r="A103" s="3">
        <v>102</v>
      </c>
      <c r="B103" s="1" t="s">
        <v>10</v>
      </c>
      <c r="C103" s="4" t="s">
        <v>153</v>
      </c>
      <c r="D103" s="4" t="s">
        <v>180</v>
      </c>
      <c r="E103" s="4" t="s">
        <v>41</v>
      </c>
      <c r="F103" s="7" t="s">
        <v>59</v>
      </c>
      <c r="G103" s="5" t="s">
        <v>17</v>
      </c>
      <c r="H103" s="4" t="s">
        <v>40</v>
      </c>
      <c r="I103" s="1"/>
      <c r="J103" s="37">
        <v>0.625</v>
      </c>
      <c r="K103" s="37">
        <v>0.66666666666666663</v>
      </c>
      <c r="L103" s="38" t="s">
        <v>288</v>
      </c>
      <c r="M103" s="30" t="s">
        <v>221</v>
      </c>
      <c r="N103" s="32">
        <v>1</v>
      </c>
      <c r="O103" s="35" t="s">
        <v>216</v>
      </c>
      <c r="P103" s="40" t="s">
        <v>289</v>
      </c>
    </row>
    <row r="104" spans="1:16" ht="31.5" customHeight="1" x14ac:dyDescent="0.4">
      <c r="A104" s="3">
        <v>103</v>
      </c>
      <c r="B104" s="1" t="s">
        <v>10</v>
      </c>
      <c r="C104" s="4" t="s">
        <v>152</v>
      </c>
      <c r="D104" s="4" t="s">
        <v>77</v>
      </c>
      <c r="E104" s="25" t="s">
        <v>42</v>
      </c>
      <c r="F104" s="7" t="s">
        <v>46</v>
      </c>
      <c r="G104" s="5" t="s">
        <v>19</v>
      </c>
      <c r="H104" s="4"/>
      <c r="I104" s="1"/>
      <c r="J104" s="37">
        <v>0.625</v>
      </c>
      <c r="K104" s="37">
        <v>0.63541666666666663</v>
      </c>
      <c r="L104" s="38"/>
      <c r="M104" s="30" t="s">
        <v>0</v>
      </c>
      <c r="N104" s="32">
        <v>1</v>
      </c>
      <c r="O104" s="35" t="s">
        <v>217</v>
      </c>
      <c r="P104" s="40" t="s">
        <v>290</v>
      </c>
    </row>
    <row r="105" spans="1:16" ht="31.5" customHeight="1" x14ac:dyDescent="0.4">
      <c r="A105" s="3">
        <v>104</v>
      </c>
      <c r="B105" s="1" t="s">
        <v>10</v>
      </c>
      <c r="C105" s="4" t="s">
        <v>151</v>
      </c>
      <c r="D105" s="4" t="s">
        <v>77</v>
      </c>
      <c r="E105" s="1" t="s">
        <v>44</v>
      </c>
      <c r="F105" s="7" t="s">
        <v>46</v>
      </c>
      <c r="G105" s="5" t="s">
        <v>17</v>
      </c>
      <c r="H105" s="4" t="s">
        <v>43</v>
      </c>
      <c r="I105" s="1"/>
      <c r="J105" s="37">
        <v>0.4375</v>
      </c>
      <c r="K105" s="37">
        <v>0.45833333333333331</v>
      </c>
      <c r="L105" s="38"/>
      <c r="M105" s="30" t="s">
        <v>221</v>
      </c>
      <c r="N105" s="32">
        <v>1</v>
      </c>
      <c r="O105" s="35" t="s">
        <v>216</v>
      </c>
      <c r="P105" s="40" t="s">
        <v>291</v>
      </c>
    </row>
    <row r="106" spans="1:16" ht="31.5" customHeight="1" x14ac:dyDescent="0.4">
      <c r="A106" s="3">
        <v>105</v>
      </c>
      <c r="B106" s="1" t="s">
        <v>10</v>
      </c>
      <c r="C106" s="4" t="s">
        <v>176</v>
      </c>
      <c r="D106" s="4" t="s">
        <v>77</v>
      </c>
      <c r="E106" s="1">
        <v>30</v>
      </c>
      <c r="F106" s="7" t="s">
        <v>47</v>
      </c>
      <c r="G106" s="5" t="s">
        <v>19</v>
      </c>
      <c r="H106" s="4"/>
      <c r="I106" s="1"/>
      <c r="J106" s="38" t="s">
        <v>285</v>
      </c>
      <c r="K106" s="38" t="s">
        <v>286</v>
      </c>
      <c r="L106" s="39">
        <v>0.85416666666666663</v>
      </c>
      <c r="M106" s="30" t="s">
        <v>221</v>
      </c>
      <c r="N106" s="32">
        <v>2</v>
      </c>
      <c r="O106" s="35" t="s">
        <v>214</v>
      </c>
      <c r="P106" s="40" t="s">
        <v>287</v>
      </c>
    </row>
    <row r="107" spans="1:16" ht="31.5" customHeight="1" x14ac:dyDescent="0.4">
      <c r="A107" s="3">
        <v>106</v>
      </c>
      <c r="B107" s="1" t="s">
        <v>10</v>
      </c>
      <c r="C107" s="4" t="s">
        <v>150</v>
      </c>
      <c r="D107" s="4" t="s">
        <v>77</v>
      </c>
      <c r="E107" s="1">
        <v>20</v>
      </c>
      <c r="F107" s="7" t="s">
        <v>47</v>
      </c>
      <c r="G107" s="5" t="s">
        <v>19</v>
      </c>
      <c r="H107" s="4"/>
      <c r="I107" s="1"/>
      <c r="J107" s="38" t="s">
        <v>285</v>
      </c>
      <c r="K107" s="38" t="s">
        <v>286</v>
      </c>
      <c r="L107" s="39">
        <v>0.85416666666666663</v>
      </c>
      <c r="M107" s="30" t="s">
        <v>221</v>
      </c>
      <c r="N107" s="32">
        <v>1</v>
      </c>
      <c r="O107" s="35" t="s">
        <v>214</v>
      </c>
      <c r="P107" s="40" t="s">
        <v>287</v>
      </c>
    </row>
    <row r="108" spans="1:16" ht="31.5" customHeight="1" x14ac:dyDescent="0.4">
      <c r="A108" s="3">
        <v>107</v>
      </c>
      <c r="B108" s="1" t="s">
        <v>10</v>
      </c>
      <c r="C108" s="4" t="s">
        <v>149</v>
      </c>
      <c r="D108" s="4" t="s">
        <v>77</v>
      </c>
      <c r="E108" s="1">
        <v>15</v>
      </c>
      <c r="F108" s="7" t="s">
        <v>46</v>
      </c>
      <c r="G108" s="5" t="s">
        <v>19</v>
      </c>
      <c r="H108" s="4"/>
      <c r="I108" s="1"/>
      <c r="J108" s="37">
        <v>0.83333333333333337</v>
      </c>
      <c r="K108" s="37">
        <v>0.84375</v>
      </c>
      <c r="L108" s="38"/>
      <c r="M108" s="30" t="s">
        <v>218</v>
      </c>
      <c r="N108" s="32">
        <v>1</v>
      </c>
      <c r="O108" s="35" t="s">
        <v>214</v>
      </c>
      <c r="P108" s="40" t="s">
        <v>292</v>
      </c>
    </row>
    <row r="109" spans="1:16" ht="31.5" customHeight="1" x14ac:dyDescent="0.4">
      <c r="A109" s="3">
        <v>108</v>
      </c>
      <c r="B109" s="1" t="s">
        <v>10</v>
      </c>
      <c r="C109" s="4" t="s">
        <v>148</v>
      </c>
      <c r="D109" s="4" t="s">
        <v>77</v>
      </c>
      <c r="E109" s="1">
        <v>15</v>
      </c>
      <c r="F109" s="7" t="s">
        <v>46</v>
      </c>
      <c r="G109" s="5" t="s">
        <v>19</v>
      </c>
      <c r="H109" s="4"/>
      <c r="I109" s="1"/>
      <c r="J109" s="37">
        <v>0.84375</v>
      </c>
      <c r="K109" s="37">
        <v>0.85416666666666663</v>
      </c>
      <c r="L109" s="38"/>
      <c r="M109" s="30" t="s">
        <v>218</v>
      </c>
      <c r="N109" s="32">
        <v>1</v>
      </c>
      <c r="O109" s="35" t="s">
        <v>214</v>
      </c>
      <c r="P109" s="40" t="s">
        <v>293</v>
      </c>
    </row>
    <row r="110" spans="1:16" ht="31.5" customHeight="1" x14ac:dyDescent="0.4">
      <c r="A110" s="3">
        <v>109</v>
      </c>
      <c r="B110" s="1" t="s">
        <v>11</v>
      </c>
      <c r="C110" s="4" t="s">
        <v>147</v>
      </c>
      <c r="D110" s="4" t="s">
        <v>180</v>
      </c>
      <c r="E110" s="1">
        <v>60</v>
      </c>
      <c r="F110" s="7" t="s">
        <v>53</v>
      </c>
      <c r="G110" s="5" t="s">
        <v>19</v>
      </c>
      <c r="H110" s="4"/>
      <c r="I110" s="1"/>
      <c r="J110" s="37">
        <v>0.41666666666666669</v>
      </c>
      <c r="K110" s="37">
        <v>0.45833333333333331</v>
      </c>
      <c r="L110" s="40" t="s">
        <v>265</v>
      </c>
      <c r="M110" s="30" t="s">
        <v>221</v>
      </c>
      <c r="N110" s="32">
        <v>2</v>
      </c>
      <c r="O110" s="35" t="s">
        <v>216</v>
      </c>
      <c r="P110" s="40"/>
    </row>
    <row r="111" spans="1:16" ht="48" x14ac:dyDescent="0.4">
      <c r="A111" s="3">
        <v>110</v>
      </c>
      <c r="B111" s="1" t="s">
        <v>11</v>
      </c>
      <c r="C111" s="4" t="s">
        <v>177</v>
      </c>
      <c r="D111" s="4" t="s">
        <v>77</v>
      </c>
      <c r="E111" s="1">
        <v>15</v>
      </c>
      <c r="F111" s="7" t="s">
        <v>48</v>
      </c>
      <c r="G111" s="5" t="s">
        <v>19</v>
      </c>
      <c r="H111" s="4"/>
      <c r="I111" s="1"/>
      <c r="J111" s="38" t="s">
        <v>259</v>
      </c>
      <c r="K111" s="38" t="s">
        <v>260</v>
      </c>
      <c r="L111" s="40"/>
      <c r="M111" s="30" t="s">
        <v>66</v>
      </c>
      <c r="N111" s="32">
        <v>1</v>
      </c>
      <c r="O111" s="35" t="s">
        <v>214</v>
      </c>
      <c r="P111" s="40" t="s">
        <v>261</v>
      </c>
    </row>
    <row r="112" spans="1:16" ht="31.5" customHeight="1" x14ac:dyDescent="0.4">
      <c r="A112" s="3">
        <v>111</v>
      </c>
      <c r="B112" s="1" t="s">
        <v>11</v>
      </c>
      <c r="C112" s="4" t="s">
        <v>146</v>
      </c>
      <c r="D112" s="4" t="s">
        <v>180</v>
      </c>
      <c r="E112" s="1">
        <v>60</v>
      </c>
      <c r="F112" s="7" t="s">
        <v>65</v>
      </c>
      <c r="G112" s="5" t="s">
        <v>19</v>
      </c>
      <c r="H112" s="4"/>
      <c r="I112" s="1"/>
      <c r="J112" s="37">
        <v>0.83333333333333337</v>
      </c>
      <c r="K112" s="37">
        <v>0.875</v>
      </c>
      <c r="L112" s="40"/>
      <c r="M112" s="30" t="s">
        <v>221</v>
      </c>
      <c r="N112" s="32">
        <v>1</v>
      </c>
      <c r="O112" s="35" t="s">
        <v>214</v>
      </c>
      <c r="P112" s="40" t="s">
        <v>262</v>
      </c>
    </row>
    <row r="113" spans="1:16" ht="31.5" customHeight="1" x14ac:dyDescent="0.4">
      <c r="A113" s="3">
        <v>112</v>
      </c>
      <c r="B113" s="1" t="s">
        <v>11</v>
      </c>
      <c r="C113" s="4" t="s">
        <v>145</v>
      </c>
      <c r="D113" s="4" t="s">
        <v>180</v>
      </c>
      <c r="E113" s="1">
        <v>30</v>
      </c>
      <c r="F113" s="7" t="s">
        <v>53</v>
      </c>
      <c r="G113" s="5" t="s">
        <v>19</v>
      </c>
      <c r="H113" s="4"/>
      <c r="I113" s="1"/>
      <c r="J113" s="37">
        <v>0.41666666666666669</v>
      </c>
      <c r="K113" s="37">
        <v>0.45833333333333331</v>
      </c>
      <c r="L113" s="40"/>
      <c r="M113" s="30" t="s">
        <v>218</v>
      </c>
      <c r="N113" s="32">
        <v>1</v>
      </c>
      <c r="O113" s="35" t="s">
        <v>214</v>
      </c>
      <c r="P113" s="40" t="s">
        <v>263</v>
      </c>
    </row>
    <row r="114" spans="1:16" ht="31.5" customHeight="1" x14ac:dyDescent="0.4">
      <c r="A114" s="3">
        <v>113</v>
      </c>
      <c r="B114" s="1" t="s">
        <v>11</v>
      </c>
      <c r="C114" s="4" t="s">
        <v>144</v>
      </c>
      <c r="D114" s="4" t="s">
        <v>77</v>
      </c>
      <c r="E114" s="1">
        <v>15</v>
      </c>
      <c r="F114" s="7" t="s">
        <v>46</v>
      </c>
      <c r="G114" s="5" t="s">
        <v>19</v>
      </c>
      <c r="H114" s="4"/>
      <c r="I114" s="1"/>
      <c r="J114" s="37">
        <v>0.625</v>
      </c>
      <c r="K114" s="37">
        <v>0.63541666666666663</v>
      </c>
      <c r="L114" s="40"/>
      <c r="M114" s="30" t="s">
        <v>221</v>
      </c>
      <c r="N114" s="32">
        <v>1</v>
      </c>
      <c r="O114" s="35" t="s">
        <v>217</v>
      </c>
      <c r="P114" s="40" t="s">
        <v>264</v>
      </c>
    </row>
  </sheetData>
  <autoFilter ref="A1:P114" xr:uid="{274499AE-997F-49B4-8EBF-BA623AED0D18}"/>
  <mergeCells count="4">
    <mergeCell ref="B101:B102"/>
    <mergeCell ref="C101:C102"/>
    <mergeCell ref="F101:F102"/>
    <mergeCell ref="L101:L102"/>
  </mergeCells>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5EABAD7D-1E43-4675-B684-DEBBAA67B36C}">
          <x14:formula1>
            <xm:f>Sheet3!$B$2:$B$7</xm:f>
          </x14:formula1>
          <xm:sqref>M2:M49 M52:M61 M65:M83 M85 M87:M93 M96:M114</xm:sqref>
        </x14:dataValidation>
        <x14:dataValidation type="list" allowBlank="1" showInputMessage="1" showErrorMessage="1" xr:uid="{AC726FC9-A314-4922-B7B2-19ECEE83B335}">
          <x14:formula1>
            <xm:f>Sheet3!$B$2:$B$8</xm:f>
          </x14:formula1>
          <xm:sqref>M50:M51 M62:M64 M84 M86 M94:M95</xm:sqref>
        </x14:dataValidation>
        <x14:dataValidation type="list" allowBlank="1" showInputMessage="1" showErrorMessage="1" xr:uid="{4D030BAD-45D1-4B32-926F-C0810CCEC371}">
          <x14:formula1>
            <xm:f>Sheet3!$A$2:$A$6</xm:f>
          </x14:formula1>
          <xm:sqref>O2:O114</xm:sqref>
        </x14:dataValidation>
        <x14:dataValidation type="list" allowBlank="1" showInputMessage="1" showErrorMessage="1" xr:uid="{B73B2520-5046-4857-A698-F5D940D33122}">
          <x14:formula1>
            <xm:f>Sheet3!$C$2:$C$5</xm:f>
          </x14:formula1>
          <xm:sqref>N2:N114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136CE-929E-42B8-A46C-474FEB1DEF48}">
  <dimension ref="A1:I20"/>
  <sheetViews>
    <sheetView workbookViewId="0">
      <selection activeCell="F11" sqref="F11"/>
    </sheetView>
  </sheetViews>
  <sheetFormatPr defaultRowHeight="14.5" x14ac:dyDescent="0.35"/>
  <cols>
    <col min="1" max="1" width="28.36328125" bestFit="1" customWidth="1"/>
    <col min="2" max="2" width="12.90625" bestFit="1" customWidth="1"/>
    <col min="3" max="3" width="17.08984375" bestFit="1" customWidth="1"/>
    <col min="4" max="4" width="12.90625" bestFit="1" customWidth="1"/>
    <col min="5" max="5" width="17.08984375" bestFit="1" customWidth="1"/>
    <col min="6" max="6" width="12.90625" bestFit="1" customWidth="1"/>
    <col min="7" max="7" width="17.08984375" bestFit="1" customWidth="1"/>
    <col min="8" max="8" width="12.90625" bestFit="1" customWidth="1"/>
    <col min="9" max="9" width="17.08984375" bestFit="1" customWidth="1"/>
  </cols>
  <sheetData>
    <row r="1" spans="1:9" x14ac:dyDescent="0.35">
      <c r="A1" s="42" t="s">
        <v>181</v>
      </c>
      <c r="B1" s="43" t="s">
        <v>182</v>
      </c>
      <c r="C1" s="43"/>
      <c r="D1" s="43" t="s">
        <v>183</v>
      </c>
      <c r="E1" s="43"/>
      <c r="F1" s="43" t="s">
        <v>184</v>
      </c>
      <c r="G1" s="43"/>
      <c r="H1" s="43" t="s">
        <v>185</v>
      </c>
      <c r="I1" s="43"/>
    </row>
    <row r="2" spans="1:9" x14ac:dyDescent="0.35">
      <c r="A2" s="42"/>
      <c r="B2" s="17" t="s">
        <v>186</v>
      </c>
      <c r="C2" s="17" t="s">
        <v>187</v>
      </c>
      <c r="D2" s="17" t="s">
        <v>186</v>
      </c>
      <c r="E2" s="17" t="s">
        <v>187</v>
      </c>
      <c r="F2" s="17" t="s">
        <v>186</v>
      </c>
      <c r="G2" s="17" t="s">
        <v>187</v>
      </c>
      <c r="H2" s="17" t="s">
        <v>186</v>
      </c>
      <c r="I2" s="17" t="s">
        <v>187</v>
      </c>
    </row>
    <row r="3" spans="1:9" x14ac:dyDescent="0.35">
      <c r="A3" s="18" t="s">
        <v>188</v>
      </c>
      <c r="B3" s="19"/>
      <c r="C3" s="19"/>
      <c r="D3" s="19"/>
      <c r="E3" s="19"/>
      <c r="F3" s="19"/>
      <c r="G3" s="19"/>
      <c r="H3" s="19"/>
      <c r="I3" s="19"/>
    </row>
    <row r="4" spans="1:9" x14ac:dyDescent="0.35">
      <c r="A4" s="18" t="s">
        <v>189</v>
      </c>
      <c r="B4" s="19"/>
      <c r="C4" s="19"/>
      <c r="D4" s="19"/>
      <c r="E4" s="19"/>
      <c r="F4" s="19"/>
      <c r="G4" s="19"/>
      <c r="H4" s="19"/>
      <c r="I4" s="19"/>
    </row>
    <row r="5" spans="1:9" x14ac:dyDescent="0.35">
      <c r="A5" s="18" t="s">
        <v>190</v>
      </c>
      <c r="B5" s="19"/>
      <c r="C5" s="19"/>
      <c r="D5" s="19"/>
      <c r="E5" s="19"/>
      <c r="F5" s="19"/>
      <c r="G5" s="19"/>
      <c r="H5" s="19"/>
      <c r="I5" s="19"/>
    </row>
    <row r="6" spans="1:9" x14ac:dyDescent="0.35">
      <c r="A6" s="18" t="s">
        <v>191</v>
      </c>
      <c r="B6" s="19"/>
      <c r="C6" s="19"/>
      <c r="D6" s="19"/>
      <c r="E6" s="19"/>
      <c r="F6" s="19"/>
      <c r="G6" s="19"/>
      <c r="H6" s="19"/>
      <c r="I6" s="19"/>
    </row>
    <row r="7" spans="1:9" x14ac:dyDescent="0.35">
      <c r="A7" s="18" t="s">
        <v>192</v>
      </c>
      <c r="B7" s="19"/>
      <c r="C7" s="19"/>
      <c r="D7" s="19"/>
      <c r="E7" s="19"/>
      <c r="F7" s="19"/>
      <c r="G7" s="19"/>
      <c r="H7" s="19"/>
      <c r="I7" s="19"/>
    </row>
    <row r="8" spans="1:9" x14ac:dyDescent="0.35">
      <c r="A8" s="18" t="s">
        <v>193</v>
      </c>
      <c r="B8" s="19"/>
      <c r="C8" s="19"/>
      <c r="D8" s="19"/>
      <c r="E8" s="19"/>
      <c r="F8" s="19"/>
      <c r="G8" s="19"/>
      <c r="H8" s="19"/>
      <c r="I8" s="19"/>
    </row>
    <row r="9" spans="1:9" x14ac:dyDescent="0.35">
      <c r="A9" s="18" t="s">
        <v>194</v>
      </c>
      <c r="B9" s="19"/>
      <c r="C9" s="19"/>
      <c r="D9" s="19"/>
      <c r="E9" s="19"/>
      <c r="F9" s="19"/>
      <c r="G9" s="19"/>
      <c r="H9" s="19"/>
      <c r="I9" s="19"/>
    </row>
    <row r="10" spans="1:9" x14ac:dyDescent="0.35">
      <c r="A10" s="18" t="s">
        <v>195</v>
      </c>
      <c r="B10" s="19"/>
      <c r="C10" s="19"/>
      <c r="D10" s="19"/>
      <c r="E10" s="19"/>
      <c r="F10" s="19"/>
      <c r="G10" s="19"/>
      <c r="H10" s="19"/>
      <c r="I10" s="19"/>
    </row>
    <row r="11" spans="1:9" x14ac:dyDescent="0.35">
      <c r="A11" s="18" t="s">
        <v>196</v>
      </c>
      <c r="B11" s="19"/>
      <c r="C11" s="19"/>
      <c r="D11" s="19"/>
      <c r="E11" s="19"/>
      <c r="F11" s="19"/>
      <c r="G11" s="19"/>
      <c r="H11" s="19"/>
      <c r="I11" s="19"/>
    </row>
    <row r="12" spans="1:9" x14ac:dyDescent="0.35">
      <c r="A12" s="18" t="s">
        <v>197</v>
      </c>
      <c r="B12" s="19"/>
      <c r="C12" s="19"/>
      <c r="D12" s="19"/>
      <c r="E12" s="19"/>
      <c r="F12" s="19"/>
      <c r="G12" s="19"/>
      <c r="H12" s="19"/>
      <c r="I12" s="19"/>
    </row>
    <row r="13" spans="1:9" x14ac:dyDescent="0.35">
      <c r="A13" s="18" t="s">
        <v>198</v>
      </c>
      <c r="B13" s="19"/>
      <c r="C13" s="19"/>
      <c r="D13" s="19"/>
      <c r="E13" s="19"/>
      <c r="F13" s="19"/>
      <c r="G13" s="19"/>
      <c r="H13" s="19"/>
      <c r="I13" s="19"/>
    </row>
    <row r="14" spans="1:9" x14ac:dyDescent="0.35">
      <c r="A14" s="18" t="s">
        <v>199</v>
      </c>
      <c r="B14" s="19"/>
      <c r="C14" s="19"/>
      <c r="D14" s="19"/>
      <c r="E14" s="19"/>
      <c r="F14" s="19"/>
      <c r="G14" s="19"/>
      <c r="H14" s="19"/>
      <c r="I14" s="19"/>
    </row>
    <row r="15" spans="1:9" x14ac:dyDescent="0.35">
      <c r="A15" s="18" t="s">
        <v>200</v>
      </c>
      <c r="B15" s="19"/>
      <c r="C15" s="19"/>
      <c r="D15" s="19"/>
      <c r="E15" s="19"/>
      <c r="F15" s="19"/>
      <c r="G15" s="19"/>
      <c r="H15" s="19"/>
      <c r="I15" s="19"/>
    </row>
    <row r="16" spans="1:9" x14ac:dyDescent="0.35">
      <c r="A16" s="18" t="s">
        <v>201</v>
      </c>
      <c r="B16" s="19"/>
      <c r="C16" s="19"/>
      <c r="D16" s="19"/>
      <c r="E16" s="19"/>
      <c r="F16" s="19"/>
      <c r="G16" s="19"/>
      <c r="H16" s="19"/>
      <c r="I16" s="19"/>
    </row>
    <row r="17" spans="1:9" x14ac:dyDescent="0.35">
      <c r="A17" s="18" t="s">
        <v>202</v>
      </c>
      <c r="B17" s="19"/>
      <c r="C17" s="19"/>
      <c r="D17" s="19"/>
      <c r="E17" s="19"/>
      <c r="F17" s="19"/>
      <c r="G17" s="19"/>
      <c r="H17" s="19"/>
      <c r="I17" s="19"/>
    </row>
    <row r="18" spans="1:9" x14ac:dyDescent="0.35">
      <c r="A18" s="18" t="s">
        <v>203</v>
      </c>
      <c r="B18" s="19"/>
      <c r="C18" s="19"/>
      <c r="D18" s="19"/>
      <c r="E18" s="19"/>
      <c r="F18" s="19"/>
      <c r="G18" s="19"/>
      <c r="H18" s="19"/>
      <c r="I18" s="19"/>
    </row>
    <row r="19" spans="1:9" x14ac:dyDescent="0.35">
      <c r="A19" s="18" t="s">
        <v>204</v>
      </c>
      <c r="B19" s="19"/>
      <c r="C19" s="19"/>
      <c r="D19" s="19"/>
      <c r="E19" s="19"/>
      <c r="F19" s="19"/>
      <c r="G19" s="19"/>
      <c r="H19" s="19"/>
      <c r="I19" s="19"/>
    </row>
    <row r="20" spans="1:9" x14ac:dyDescent="0.35">
      <c r="A20" s="18" t="s">
        <v>205</v>
      </c>
      <c r="B20" s="19"/>
      <c r="C20" s="19"/>
      <c r="D20" s="19"/>
      <c r="E20" s="19"/>
      <c r="F20" s="19"/>
      <c r="G20" s="19"/>
      <c r="H20" s="19"/>
      <c r="I20" s="19"/>
    </row>
  </sheetData>
  <mergeCells count="5">
    <mergeCell ref="A1:A2"/>
    <mergeCell ref="B1:C1"/>
    <mergeCell ref="D1:E1"/>
    <mergeCell ref="F1:G1"/>
    <mergeCell ref="H1:I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Store Information</vt:lpstr>
      <vt:lpstr>Sheet3</vt:lpstr>
      <vt:lpstr>Danh sách công việc</vt:lpstr>
      <vt:lpstr>POS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Vũ Thanh Tùng</dc:creator>
  <cp:lastModifiedBy>Vũ Thanh Tùng</cp:lastModifiedBy>
  <dcterms:created xsi:type="dcterms:W3CDTF">2025-11-20T02:37:52Z</dcterms:created>
  <dcterms:modified xsi:type="dcterms:W3CDTF">2025-11-23T07:37:59Z</dcterms:modified>
</cp:coreProperties>
</file>